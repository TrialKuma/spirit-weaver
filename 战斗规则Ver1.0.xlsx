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规则-流程" sheetId="1" r:id="rId1"/>
    <sheet name="战斗记录" sheetId="12" r:id="rId2"/>
    <sheet name="行动计算" sheetId="11" r:id="rId3"/>
    <sheet name="不同施法资源技能设计参考" sheetId="3" r:id="rId4"/>
  </sheets>
  <definedNames>
    <definedName name="_xlnm._FilterDatabase" localSheetId="2" hidden="1">行动计算!$B$4:$F$41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5" authorId="0">
      <text>
        <r>
          <rPr>
            <b/>
            <sz val="9"/>
            <rFont val="宋体"/>
            <charset val="134"/>
          </rPr>
          <t>Ric:</t>
        </r>
        <r>
          <rPr>
            <sz val="9"/>
            <rFont val="宋体"/>
            <charset val="134"/>
          </rPr>
          <t xml:space="preserve">
1 【回合开始阶段】  
 每回合，每个角色获得敏捷+5的行动点，数值最高的角色先出手，随后把自身行动点清零  
 行动点相同时，过1d6检定直至分出先后，随后按照此顺序行动  
 所有回合开始时需要结算的BUFF类效果在此阶段触发  
2 【行动开始阶段】  
 判断行动角色当前是否处于“限制行动”状态，结算所有“限制行动”相关效果  
 玩家当前处于“限制行动”状态时，如果无法在此阶段解除该效果，则会跳过所有行动阶段  
 如果玩家不处于此状态，则获得4个行动点  
3 【行动阶段】  
 消耗行动点，发动主动技能和追加技能  
 每个成功施放的行动施放都会走一次【行动生效阶段】，生效结束后重新回到【行动阶段】  
 如果存在剩余行动点或行动能力，则可以继续执行行动  
4 【行动生效阶段】  
 安排好行动后，进入此流程开始执行行动效果  
 如无特殊说明，按以下顺序执行  
 4.0 【BUFF判定-先】 
  行动开始时施加的BUFF在此时触发 
 4.1 【闪避判定】 
  当目标尝试用闪避应对攻击时，闪避检定流程最优先 
 4.2 【伤害流程】 
  减法公式，参考右侧 
 4.3 【受击流程】【死亡流程】 
  如果存在受击后触发的效果，在伤害流程阶段触发 
  受击时对目标造成伤害的过程，重新走【伤害流程】【受击流程】 
 4.4 【BUFF判定-后】 
  在伤害结算后处理逻辑的BUFF在此时触发 
5 【行动结束阶段】  
 当前角色所有行动结束后，如果有效果需要触发，则在此时触发  
 如果有回合结束时触发的逻辑，则在此处触发  
6 【下一个角色行动】  重复之前的2-5
</t>
        </r>
      </text>
    </comment>
  </commentList>
</comments>
</file>

<file path=xl/sharedStrings.xml><?xml version="1.0" encoding="utf-8"?>
<sst xmlns="http://schemas.openxmlformats.org/spreadsheetml/2006/main" count="371" uniqueCount="238">
  <si>
    <t>角色属性</t>
  </si>
  <si>
    <t>36（MAX）</t>
  </si>
  <si>
    <t>战斗检定部分</t>
  </si>
  <si>
    <t>机制检定部分</t>
  </si>
  <si>
    <t>技能类型</t>
  </si>
  <si>
    <t>施法资源特性</t>
  </si>
  <si>
    <t>每个回合有4个行动点</t>
  </si>
  <si>
    <t>力量</t>
  </si>
  <si>
    <t>物攻/物防</t>
  </si>
  <si>
    <t>破坏</t>
  </si>
  <si>
    <t>主动</t>
  </si>
  <si>
    <t>可以直接施放</t>
  </si>
  <si>
    <t>气息</t>
  </si>
  <si>
    <t>10/10</t>
  </si>
  <si>
    <t>初始满值，每回合开始回复2个，可以有少量辅助回复能力</t>
  </si>
  <si>
    <t>数值都是随手先拍的，不是最终定版</t>
  </si>
  <si>
    <t>智力</t>
  </si>
  <si>
    <t>魔攻/魔防</t>
  </si>
  <si>
    <t>解谜</t>
  </si>
  <si>
    <t>追加</t>
  </si>
  <si>
    <t>满足特定条件后施放</t>
  </si>
  <si>
    <t>单次消耗最少4，强化动作</t>
  </si>
  <si>
    <t>体质</t>
  </si>
  <si>
    <t>生命/肉体异常</t>
  </si>
  <si>
    <t>承伤</t>
  </si>
  <si>
    <t>被动</t>
  </si>
  <si>
    <t>被动效果，无需使用</t>
  </si>
  <si>
    <t>连击</t>
  </si>
  <si>
    <t>0/10</t>
  </si>
  <si>
    <t>初始为0，消耗行动点时获得连击点，通过追加行动获得额外连击资源</t>
  </si>
  <si>
    <t>敏捷</t>
  </si>
  <si>
    <t>物攻/速度</t>
  </si>
  <si>
    <t>闪躲</t>
  </si>
  <si>
    <t>受限-战斗内次数</t>
  </si>
  <si>
    <t>战斗内使用次数限制</t>
  </si>
  <si>
    <t>单次消耗量建议4-6，技能可以设计追加型来增加泄能速度</t>
  </si>
  <si>
    <t>意志</t>
  </si>
  <si>
    <t>魔攻/精神异常</t>
  </si>
  <si>
    <t>精神效果</t>
  </si>
  <si>
    <t>禁忌-次数</t>
  </si>
  <si>
    <t>总使用次数限制</t>
  </si>
  <si>
    <t>魔力</t>
  </si>
  <si>
    <t>初始满值，消耗施法资源时回复一定量（暂定2）</t>
  </si>
  <si>
    <t>（闪避暂时不进行考虑）</t>
  </si>
  <si>
    <t>单次消耗量建议5，通过技能命中达成能量循环，技能威力中上</t>
  </si>
  <si>
    <t>（测试时注意速度先攻的收益是否值得）</t>
  </si>
  <si>
    <t>平衡</t>
  </si>
  <si>
    <t>10/-5/0/5/10</t>
  </si>
  <si>
    <t>初始平衡态，使用不同技能产生偏向，每回合开始会朝平衡态移动2</t>
  </si>
  <si>
    <t>可以消耗意志1:1转换其他属性：其他属性增幅有效一回合，意志降低持续真个战斗</t>
  </si>
  <si>
    <t>单次消耗量建议3</t>
  </si>
  <si>
    <t xml:space="preserve"> </t>
  </si>
  <si>
    <t>用意志给他顶回去！</t>
  </si>
  <si>
    <t>【战斗流程】</t>
  </si>
  <si>
    <t>【战斗开始阶段】</t>
  </si>
  <si>
    <t>战斗开始时，角色生命值回复至满值</t>
  </si>
  <si>
    <t>装载所有被动技能</t>
  </si>
  <si>
    <t>【角色回合开始阶段】</t>
  </si>
  <si>
    <t>角色行动回合开始时，每个角色获得等同于自身敏捷的行动进度，数值最高的角色先出手，随后把自身行动进度清零</t>
  </si>
  <si>
    <t>行动进度相同时，敏捷高的角色先出手，敏捷也相同时，过1d6检定直至分出先后，随后按照此顺序行动</t>
  </si>
  <si>
    <t>所有回合开始时需要结算的BUFF类效果在此阶段触发</t>
  </si>
  <si>
    <t>【行动开始阶段】</t>
  </si>
  <si>
    <t>判断行动角色当前是否处于“限制行动”状态，结算所有“限制行动”相关效果</t>
  </si>
  <si>
    <t>玩家当前处于“限制行动”状态时，如果无法在此阶段解除该效果，则会跳过所有行动阶段</t>
  </si>
  <si>
    <t>如果玩家不处于此状态，则获得4个行动点和施法资源回复</t>
  </si>
  <si>
    <t>【行动阶段】</t>
  </si>
  <si>
    <t>【BUFF/资源判定-1】</t>
  </si>
  <si>
    <t>在施法资源扣除前进行需要扣除的施法资源量检查</t>
  </si>
  <si>
    <t>存在修改行动点或施法资源消耗的机制在此阶段判定</t>
  </si>
  <si>
    <t>选定即将发动的技能</t>
  </si>
  <si>
    <t>进入【行动生效阶段】，生效结束后重新回到【行动阶段】</t>
  </si>
  <si>
    <t>【行动生效阶段】</t>
  </si>
  <si>
    <t>【战斗计算】——减法公式</t>
  </si>
  <si>
    <t>说明</t>
  </si>
  <si>
    <t>安排好行动后，进入此流程开始执行行动效果</t>
  </si>
  <si>
    <t>物理攻击</t>
  </si>
  <si>
    <t>如无特殊说明，按以下顺序执行</t>
  </si>
  <si>
    <t>·伤害值</t>
  </si>
  <si>
    <t>==&gt;</t>
  </si>
  <si>
    <t>技能最终伤害值-物理防御</t>
  </si>
  <si>
    <t>技能伤害在各个技能里计算</t>
  </si>
  <si>
    <t>5.0</t>
  </si>
  <si>
    <t>【技能开始】</t>
  </si>
  <si>
    <t>物理防御</t>
  </si>
  <si>
    <t>尝试执行此技能，如果没有被其他效果打断，则进入【BUFF/资源判定-1】阶段</t>
  </si>
  <si>
    <t>·防御值</t>
  </si>
  <si>
    <t>力量值+额外防御修正</t>
  </si>
  <si>
    <t>技能防御值包括防御类额外减伤以及道具效果</t>
  </si>
  <si>
    <t>【施法资源结算】</t>
  </si>
  <si>
    <t>魔法攻击</t>
  </si>
  <si>
    <t>此行动需要支付的行动点和施法资源在这个阶段扣除</t>
  </si>
  <si>
    <t>技能最终伤害值-魔法防御</t>
  </si>
  <si>
    <t>同上</t>
  </si>
  <si>
    <t>如果没有相关反制类效果，那么在扣除施法资源后会进入效果触发阶段</t>
  </si>
  <si>
    <t>魔法防御</t>
  </si>
  <si>
    <t>【BUFF/资源判定-2】</t>
  </si>
  <si>
    <t>智力值+额外防御修正</t>
  </si>
  <si>
    <t>由于产生施法资源消耗而产生的BUFF和资源变化在此处结算</t>
  </si>
  <si>
    <t>物理控制效果</t>
  </si>
  <si>
    <t>【伤害流程】</t>
  </si>
  <si>
    <t>·成功率</t>
  </si>
  <si>
    <t>检定值-目标体质，大于0则命中</t>
  </si>
  <si>
    <t>检定值在各个控制效果中设定</t>
  </si>
  <si>
    <t>减法公式，参考右侧</t>
  </si>
  <si>
    <t>法术控制效果</t>
  </si>
  <si>
    <t>【BUFF/资源判定-3】</t>
  </si>
  <si>
    <t>检定值-目标意志，大于0则命中</t>
  </si>
  <si>
    <t>在伤害结算后处理逻辑的BUFF在此时触发</t>
  </si>
  <si>
    <t>如果存在行动结束后计算的资源变化，在此处结算（如连击点增加）</t>
  </si>
  <si>
    <t>闪避检定</t>
  </si>
  <si>
    <t>仅当玩家尝试闪避时计算，否则走防御计算</t>
  </si>
  <si>
    <t>【受击流程】【死亡流程】</t>
  </si>
  <si>
    <t>（敏捷+基本检定+技能检定-进攻方敏捷）/100</t>
  </si>
  <si>
    <t>技能检定值默认为1d10，闪避技能检定值另算</t>
  </si>
  <si>
    <t>如果存在受击后触发的效果，在伤害流程阶段触发</t>
  </si>
  <si>
    <t>受击时对目标造成伤害的过程，重新走【伤害流程】【受击流程】</t>
  </si>
  <si>
    <t>【行动结束阶段】</t>
  </si>
  <si>
    <t>如果存在剩余行动点或行动能力，则可以回到阶段4继续选择行动</t>
  </si>
  <si>
    <t>角色行动结束后，如果有效果需要触发，则在此时触发</t>
  </si>
  <si>
    <t>当玩家所有行动点使用完毕后，自动进入回合结束阶段</t>
  </si>
  <si>
    <t>【回合结束阶段】</t>
  </si>
  <si>
    <t>如果有回合结束时触发的逻辑，在此处触发</t>
  </si>
  <si>
    <t>玩家也可以在不消耗完所有行动点的情况下进入此阶段，未使用的行动点通常不做保留，除非有特殊能力</t>
  </si>
  <si>
    <t>【下一个角色行动】</t>
  </si>
  <si>
    <t>重复之前的2-7</t>
  </si>
  <si>
    <t>战斗回合记录</t>
  </si>
  <si>
    <t>怪物1</t>
  </si>
  <si>
    <t>怪物2</t>
  </si>
  <si>
    <t>PC1</t>
  </si>
  <si>
    <t>PC2</t>
  </si>
  <si>
    <t>PC3</t>
  </si>
  <si>
    <t>PC4</t>
  </si>
  <si>
    <t>PC5</t>
  </si>
  <si>
    <t>属性状态</t>
  </si>
  <si>
    <t>当前HP</t>
  </si>
  <si>
    <t>总HP</t>
  </si>
  <si>
    <t>资源状态</t>
  </si>
  <si>
    <t>被动技能</t>
  </si>
  <si>
    <t>Buff</t>
  </si>
  <si>
    <t>战斗流程</t>
  </si>
  <si>
    <t>Debuff</t>
  </si>
  <si>
    <t>行动日志</t>
  </si>
  <si>
    <t>行动轮次</t>
  </si>
  <si>
    <t>【深渊戳刺】</t>
  </si>
  <si>
    <t>行动进度</t>
  </si>
  <si>
    <t>BOSS</t>
  </si>
  <si>
    <t>雷克</t>
  </si>
  <si>
    <t>补丁</t>
  </si>
  <si>
    <t>潜行</t>
  </si>
  <si>
    <t>行动次数</t>
  </si>
  <si>
    <t>行动者</t>
  </si>
  <si>
    <t>模板</t>
  </si>
  <si>
    <t>回合</t>
  </si>
  <si>
    <t>进度值</t>
  </si>
  <si>
    <t>进度加值</t>
  </si>
  <si>
    <t>敏捷值</t>
  </si>
  <si>
    <t>回归回合</t>
  </si>
  <si>
    <t>初始满值，每回合回复2个，可以有少量辅助回复能力</t>
  </si>
  <si>
    <t>初始为0，每执行1个行动增加1个，从追加技能突出设计</t>
  </si>
  <si>
    <t>-5/0/5</t>
  </si>
  <si>
    <t>初始平衡态，使用不同技能产生偏向，每回合会朝平衡态移动2</t>
  </si>
  <si>
    <t>气息类</t>
  </si>
  <si>
    <t>强化大伤害收益方向</t>
  </si>
  <si>
    <t>内伤</t>
  </si>
  <si>
    <t>正拳</t>
  </si>
  <si>
    <t>正拳·真打</t>
  </si>
  <si>
    <t>附身拳</t>
  </si>
  <si>
    <t>1级</t>
  </si>
  <si>
    <t>消耗5点以上气息的攻击附加【内伤】，持续2次受击</t>
  </si>
  <si>
    <t>对目标造成物理伤害</t>
  </si>
  <si>
    <t>对目标造成物理伤害，33概率造成晕眩效果</t>
  </si>
  <si>
    <t>【内伤】受到的伤害增加，攻击【内伤】目标回复1气息</t>
  </si>
  <si>
    <t>正拳和正拳·真打命中后，33概率自动追加使用</t>
  </si>
  <si>
    <t>内伤效果</t>
  </si>
  <si>
    <t>1d3</t>
  </si>
  <si>
    <t>物理伤害</t>
  </si>
  <si>
    <t>2+d力量</t>
  </si>
  <si>
    <t>6+d力量</t>
  </si>
  <si>
    <t>2+1d3</t>
  </si>
  <si>
    <t>消耗</t>
  </si>
  <si>
    <t>无</t>
  </si>
  <si>
    <t>施法资源</t>
  </si>
  <si>
    <t>行动点</t>
  </si>
  <si>
    <t>气息-6</t>
  </si>
  <si>
    <t>连击类</t>
  </si>
  <si>
    <t>强化高频次行动收益</t>
  </si>
  <si>
    <t>双击</t>
  </si>
  <si>
    <t>速斩</t>
  </si>
  <si>
    <t>回身斩</t>
  </si>
  <si>
    <t>连斩</t>
  </si>
  <si>
    <t>回身烈斩</t>
  </si>
  <si>
    <t>触发追加行动时，额外追加1次（仅触发1次）</t>
  </si>
  <si>
    <t>对目标造成物理伤害，必须接在速斩后使用</t>
  </si>
  <si>
    <t>触发追加行动时，额外增加1连击</t>
  </si>
  <si>
    <t>命中时，有80概率追加连斩</t>
  </si>
  <si>
    <t>造成伤害后，自身敏捷提升2个回合，必定追加连斩</t>
  </si>
  <si>
    <t>1+d敏捷</t>
  </si>
  <si>
    <t>3+d敏捷</t>
  </si>
  <si>
    <t>4+d敏捷</t>
  </si>
  <si>
    <t>敏捷提升</t>
  </si>
  <si>
    <t>1+1d2</t>
  </si>
  <si>
    <t>连击-6</t>
  </si>
  <si>
    <t>魔力类</t>
  </si>
  <si>
    <t>资源转化效率管理</t>
  </si>
  <si>
    <t>魔力回转</t>
  </si>
  <si>
    <t>冲击能流</t>
  </si>
  <si>
    <t>盈能弹</t>
  </si>
  <si>
    <t>回响</t>
  </si>
  <si>
    <t>盈能爆震</t>
  </si>
  <si>
    <t>魔力值进行施法资源转化时获得【回转】，持续2个行动点</t>
  </si>
  <si>
    <t>放出元素力对目标造成魔法伤害，并生成2元素</t>
  </si>
  <si>
    <t>对目标造成魔法伤害，33概率追加额外伤害</t>
  </si>
  <si>
    <t>对目标造成魔法伤害</t>
  </si>
  <si>
    <t>对目标造成魔法伤害，66概率追加额外伤害</t>
  </si>
  <si>
    <t>【回转】每次消耗行动点时回复2魔力</t>
  </si>
  <si>
    <t>命中时，有33概率追加回响</t>
  </si>
  <si>
    <t>【回转】效果中，造成的魔法伤害有额外伤害补正</t>
  </si>
  <si>
    <t>魔法伤害</t>
  </si>
  <si>
    <t>d魔力</t>
  </si>
  <si>
    <t>1+1d3</t>
  </si>
  <si>
    <t>额外伤害</t>
  </si>
  <si>
    <t>2d2</t>
  </si>
  <si>
    <t>1d4</t>
  </si>
  <si>
    <t>2+d魔力</t>
  </si>
  <si>
    <t>2d3</t>
  </si>
  <si>
    <t>补正值</t>
  </si>
  <si>
    <t>魔力-5</t>
  </si>
  <si>
    <t>元素-1</t>
  </si>
  <si>
    <t>元素-2</t>
  </si>
  <si>
    <t>平衡类</t>
  </si>
  <si>
    <t>在不同状态下的状态特性</t>
  </si>
  <si>
    <t>灼热加护-正</t>
  </si>
  <si>
    <t>平衡状态为正时展开，攻击目标时追加伤害</t>
  </si>
  <si>
    <t>追加伤害</t>
  </si>
  <si>
    <t>灼热加护-负</t>
  </si>
  <si>
    <t>平衡状态为负时展开，被攻击时反射伤害</t>
  </si>
  <si>
    <t>反射伤害</t>
  </si>
  <si>
    <t>2+2d2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</si>
</sst>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40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ajor"/>
    </font>
    <font>
      <sz val="10"/>
      <color theme="1"/>
      <name val="宋体"/>
      <charset val="134"/>
      <scheme val="major"/>
    </font>
    <font>
      <sz val="10"/>
      <color theme="0"/>
      <name val="宋体"/>
      <charset val="134"/>
      <scheme val="major"/>
    </font>
    <font>
      <sz val="10"/>
      <name val="宋体"/>
      <charset val="134"/>
      <scheme val="major"/>
    </font>
    <font>
      <sz val="10"/>
      <color rgb="FF000000"/>
      <name val="宋体"/>
      <charset val="134"/>
    </font>
    <font>
      <sz val="10"/>
      <color rgb="FFFFFFFF"/>
      <name val="宋体"/>
      <charset val="134"/>
    </font>
    <font>
      <b/>
      <sz val="12"/>
      <name val="宋体"/>
      <charset val="134"/>
      <scheme val="major"/>
    </font>
    <font>
      <b/>
      <sz val="12"/>
      <color rgb="FFFFFFFF"/>
      <name val="宋体"/>
      <charset val="134"/>
    </font>
    <font>
      <b/>
      <sz val="12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2E75B6"/>
      <name val="宋体"/>
      <charset val="134"/>
    </font>
    <font>
      <sz val="10"/>
      <color rgb="FFFF0000"/>
      <name val="宋体"/>
      <charset val="134"/>
    </font>
    <font>
      <i/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0"/>
      <color rgb="FFFFFFFF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9680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FFEF35"/>
        <bgColor indexed="64"/>
      </patternFill>
    </fill>
    <fill>
      <patternFill patternType="solid">
        <fgColor rgb="FF0C7EE8"/>
        <bgColor indexed="64"/>
      </patternFill>
    </fill>
    <fill>
      <patternFill patternType="solid">
        <fgColor rgb="FF7D45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4B8B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F71E8"/>
        <bgColor indexed="64"/>
      </patternFill>
    </fill>
    <fill>
      <patternFill patternType="solid">
        <fgColor rgb="FFFBFF8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1" borderId="17" applyNumberFormat="0" applyAlignment="0" applyProtection="0">
      <alignment vertical="center"/>
    </xf>
    <xf numFmtId="0" fontId="28" fillId="22" borderId="18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30" fillId="23" borderId="19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58" fontId="5" fillId="9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2" fillId="11" borderId="4" xfId="0" applyFont="1" applyFill="1" applyBorder="1" applyAlignment="1">
      <alignment vertical="center"/>
    </xf>
    <xf numFmtId="0" fontId="2" fillId="11" borderId="0" xfId="0" applyFont="1" applyFill="1" applyAlignment="1">
      <alignment vertical="center"/>
    </xf>
    <xf numFmtId="0" fontId="2" fillId="11" borderId="5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2" fillId="11" borderId="6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5" fillId="11" borderId="7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0" fontId="6" fillId="10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11" borderId="10" xfId="0" applyFont="1" applyFill="1" applyBorder="1" applyAlignment="1">
      <alignment vertical="center"/>
    </xf>
    <xf numFmtId="0" fontId="5" fillId="11" borderId="9" xfId="0" applyFont="1" applyFill="1" applyBorder="1" applyAlignment="1">
      <alignment vertical="center"/>
    </xf>
    <xf numFmtId="0" fontId="2" fillId="11" borderId="1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NumberFormat="1" applyFont="1">
      <alignment vertical="center"/>
    </xf>
    <xf numFmtId="0" fontId="12" fillId="0" borderId="0" xfId="0" applyNumberFormat="1" applyFont="1">
      <alignment vertical="center"/>
    </xf>
    <xf numFmtId="0" fontId="10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8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58" fontId="6" fillId="9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19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7" borderId="0" xfId="0" applyFont="1" applyFill="1" applyAlignment="1" quotePrefix="1">
      <alignment horizontal="center" vertical="center"/>
    </xf>
    <xf numFmtId="58" fontId="6" fillId="9" borderId="0" xfId="0" applyNumberFormat="1" applyFont="1" applyFill="1" applyAlignment="1" quotePrefix="1">
      <alignment horizontal="center" vertical="center"/>
    </xf>
    <xf numFmtId="0" fontId="6" fillId="10" borderId="0" xfId="0" applyFont="1" applyFill="1" applyAlignment="1" quotePrefix="1">
      <alignment horizontal="center" vertical="center"/>
    </xf>
    <xf numFmtId="0" fontId="2" fillId="0" borderId="0" xfId="0" applyFont="1" applyAlignment="1" quotePrefix="1">
      <alignment vertical="center"/>
    </xf>
    <xf numFmtId="0" fontId="2" fillId="19" borderId="0" xfId="0" applyFont="1" applyFill="1" applyAlignment="1" quotePrefix="1">
      <alignment vertical="center"/>
    </xf>
    <xf numFmtId="0" fontId="5" fillId="7" borderId="0" xfId="0" applyFont="1" applyFill="1" applyAlignment="1" quotePrefix="1">
      <alignment horizontal="center" vertical="center"/>
    </xf>
    <xf numFmtId="58" fontId="5" fillId="9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071FF"/>
      <color rgb="00FF6565"/>
      <color rgb="003EA526"/>
      <color rgb="00F9680D"/>
      <color rgb="00FF3333"/>
      <color rgb="00FFEF35"/>
      <color rgb="000C7EE8"/>
      <color rgb="007D45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E0B4"/>
  </sheetPr>
  <dimension ref="B2:T63"/>
  <sheetViews>
    <sheetView tabSelected="1" topLeftCell="A13" workbookViewId="0">
      <selection activeCell="E20" sqref="E20"/>
    </sheetView>
  </sheetViews>
  <sheetFormatPr defaultColWidth="8.8" defaultRowHeight="17" customHeight="1"/>
  <cols>
    <col min="1" max="1" width="8.8" style="2"/>
    <col min="2" max="2" width="7.625" style="2" customWidth="1"/>
    <col min="3" max="3" width="5.5" style="2" customWidth="1"/>
    <col min="4" max="4" width="18.625" style="2" customWidth="1"/>
    <col min="5" max="5" width="16.75" style="2" customWidth="1"/>
    <col min="6" max="6" width="9.25" style="2" customWidth="1"/>
    <col min="7" max="7" width="13" style="2" customWidth="1"/>
    <col min="8" max="11" width="8.8" style="2"/>
    <col min="12" max="12" width="4.875" style="2" customWidth="1"/>
    <col min="13" max="13" width="1.25" style="2" customWidth="1"/>
    <col min="14" max="14" width="13.625" style="2" customWidth="1"/>
    <col min="15" max="16" width="11.75" style="2" customWidth="1"/>
    <col min="17" max="18" width="8.8" style="2"/>
    <col min="19" max="19" width="10.25" style="2" customWidth="1"/>
    <col min="20" max="16384" width="8.8" style="2"/>
  </cols>
  <sheetData>
    <row r="2" customHeight="1" spans="2:3">
      <c r="B2" s="2" t="s">
        <v>0</v>
      </c>
      <c r="C2" s="2" t="s">
        <v>1</v>
      </c>
    </row>
    <row r="3" customHeight="1" spans="4:15">
      <c r="D3" s="1" t="s">
        <v>2</v>
      </c>
      <c r="E3" s="1" t="s">
        <v>3</v>
      </c>
      <c r="G3" s="1" t="s">
        <v>4</v>
      </c>
      <c r="L3" s="1" t="s">
        <v>5</v>
      </c>
      <c r="O3" s="75" t="s">
        <v>6</v>
      </c>
    </row>
    <row r="4" customHeight="1" spans="2:20">
      <c r="B4" s="67" t="s">
        <v>7</v>
      </c>
      <c r="C4" s="2">
        <v>4</v>
      </c>
      <c r="D4" s="2" t="s">
        <v>8</v>
      </c>
      <c r="E4" s="2" t="s">
        <v>9</v>
      </c>
      <c r="G4" s="3" t="s">
        <v>10</v>
      </c>
      <c r="H4" s="2" t="s">
        <v>11</v>
      </c>
      <c r="L4" s="76" t="s">
        <v>12</v>
      </c>
      <c r="N4" s="87" t="s">
        <v>13</v>
      </c>
      <c r="O4" s="10" t="s">
        <v>14</v>
      </c>
      <c r="T4" s="84" t="s">
        <v>15</v>
      </c>
    </row>
    <row r="5" customHeight="1" spans="2:20">
      <c r="B5" s="68" t="s">
        <v>16</v>
      </c>
      <c r="C5" s="2">
        <v>8</v>
      </c>
      <c r="D5" s="2" t="s">
        <v>17</v>
      </c>
      <c r="E5" s="2" t="s">
        <v>18</v>
      </c>
      <c r="G5" s="4" t="s">
        <v>19</v>
      </c>
      <c r="H5" s="2" t="s">
        <v>20</v>
      </c>
      <c r="N5" s="10" t="s">
        <v>21</v>
      </c>
      <c r="T5" s="85"/>
    </row>
    <row r="6" customHeight="1" spans="2:20">
      <c r="B6" s="69" t="s">
        <v>22</v>
      </c>
      <c r="C6" s="2">
        <v>8</v>
      </c>
      <c r="D6" s="10" t="s">
        <v>23</v>
      </c>
      <c r="E6" s="10" t="s">
        <v>24</v>
      </c>
      <c r="G6" s="5" t="s">
        <v>25</v>
      </c>
      <c r="H6" s="2" t="s">
        <v>26</v>
      </c>
      <c r="L6" s="11" t="s">
        <v>27</v>
      </c>
      <c r="N6" s="12" t="s">
        <v>28</v>
      </c>
      <c r="O6" s="10" t="s">
        <v>29</v>
      </c>
      <c r="T6" s="85"/>
    </row>
    <row r="7" customHeight="1" spans="2:20">
      <c r="B7" s="70" t="s">
        <v>30</v>
      </c>
      <c r="C7" s="2">
        <v>8</v>
      </c>
      <c r="D7" s="10" t="s">
        <v>31</v>
      </c>
      <c r="E7" s="2" t="s">
        <v>32</v>
      </c>
      <c r="G7" s="6" t="s">
        <v>33</v>
      </c>
      <c r="H7" s="2" t="s">
        <v>34</v>
      </c>
      <c r="L7" s="13"/>
      <c r="N7" s="2" t="s">
        <v>35</v>
      </c>
      <c r="T7" s="85"/>
    </row>
    <row r="8" customHeight="1" spans="2:20">
      <c r="B8" s="71" t="s">
        <v>36</v>
      </c>
      <c r="C8" s="2">
        <v>8</v>
      </c>
      <c r="D8" s="10" t="s">
        <v>37</v>
      </c>
      <c r="E8" s="2" t="s">
        <v>38</v>
      </c>
      <c r="G8" s="7" t="s">
        <v>39</v>
      </c>
      <c r="H8" s="2" t="s">
        <v>40</v>
      </c>
      <c r="L8" s="78" t="s">
        <v>41</v>
      </c>
      <c r="N8" s="88" t="s">
        <v>13</v>
      </c>
      <c r="O8" s="10" t="s">
        <v>42</v>
      </c>
      <c r="T8" s="85"/>
    </row>
    <row r="9" customHeight="1" spans="4:20">
      <c r="D9" s="10" t="s">
        <v>43</v>
      </c>
      <c r="L9" s="13"/>
      <c r="N9" s="2" t="s">
        <v>44</v>
      </c>
      <c r="T9" s="85"/>
    </row>
    <row r="10" customHeight="1" spans="4:20">
      <c r="D10" s="10" t="s">
        <v>45</v>
      </c>
      <c r="L10" s="16" t="s">
        <v>46</v>
      </c>
      <c r="N10" s="89" t="s">
        <v>47</v>
      </c>
      <c r="O10" s="10" t="s">
        <v>48</v>
      </c>
      <c r="T10" s="85"/>
    </row>
    <row r="11" customHeight="1" spans="4:20">
      <c r="D11" s="72" t="s">
        <v>49</v>
      </c>
      <c r="N11" s="10" t="s">
        <v>50</v>
      </c>
      <c r="O11" s="10" t="s">
        <v>51</v>
      </c>
      <c r="T11" s="86"/>
    </row>
    <row r="12" customHeight="1" spans="4:4">
      <c r="D12" s="73" t="s">
        <v>52</v>
      </c>
    </row>
    <row r="13" customHeight="1" spans="12:14">
      <c r="L13" s="80"/>
      <c r="M13" s="80"/>
      <c r="N13" s="80"/>
    </row>
    <row r="14" customHeight="1" spans="2:14">
      <c r="B14" s="10" t="s">
        <v>53</v>
      </c>
      <c r="L14" s="80"/>
      <c r="M14" s="80"/>
      <c r="N14" s="80"/>
    </row>
    <row r="15" customHeight="1" spans="2:14">
      <c r="B15" s="10">
        <v>1</v>
      </c>
      <c r="C15" s="2" t="s">
        <v>54</v>
      </c>
      <c r="L15" s="80"/>
      <c r="M15" s="80"/>
      <c r="N15" s="80"/>
    </row>
    <row r="16" customHeight="1" spans="2:14">
      <c r="B16" s="10"/>
      <c r="C16" s="2" t="s">
        <v>55</v>
      </c>
      <c r="L16" s="80"/>
      <c r="M16" s="80"/>
      <c r="N16" s="80"/>
    </row>
    <row r="17" customHeight="1" spans="2:14">
      <c r="B17" s="10"/>
      <c r="C17" s="2" t="s">
        <v>56</v>
      </c>
      <c r="L17" s="80"/>
      <c r="M17" s="80"/>
      <c r="N17" s="80"/>
    </row>
    <row r="18" customHeight="1" spans="2:14">
      <c r="B18" s="2">
        <v>2</v>
      </c>
      <c r="C18" s="10" t="s">
        <v>57</v>
      </c>
      <c r="L18" s="81"/>
      <c r="M18" s="81"/>
      <c r="N18" s="81"/>
    </row>
    <row r="19" customHeight="1" spans="3:14">
      <c r="C19" s="10" t="s">
        <v>58</v>
      </c>
      <c r="L19" s="81"/>
      <c r="M19" s="81"/>
      <c r="N19" s="81"/>
    </row>
    <row r="20" customHeight="1" spans="3:14">
      <c r="C20" s="10" t="s">
        <v>59</v>
      </c>
      <c r="L20" s="80"/>
      <c r="M20" s="80"/>
      <c r="N20" s="80"/>
    </row>
    <row r="21" customHeight="1" spans="3:16">
      <c r="C21" s="10" t="s">
        <v>60</v>
      </c>
      <c r="L21" s="81"/>
      <c r="M21" s="81"/>
      <c r="N21" s="81"/>
      <c r="O21"/>
      <c r="P21"/>
    </row>
    <row r="22" customHeight="1" spans="2:16">
      <c r="B22" s="2">
        <v>3</v>
      </c>
      <c r="C22" s="10" t="s">
        <v>61</v>
      </c>
      <c r="K22" s="10"/>
      <c r="L22" s="81"/>
      <c r="M22" s="81"/>
      <c r="N22" s="81"/>
      <c r="O22"/>
      <c r="P22"/>
    </row>
    <row r="23" customHeight="1" spans="3:16">
      <c r="C23" s="10" t="s">
        <v>62</v>
      </c>
      <c r="K23" s="10"/>
      <c r="L23" s="81"/>
      <c r="M23" s="81"/>
      <c r="N23" s="81"/>
      <c r="O23"/>
      <c r="P23"/>
    </row>
    <row r="24" customHeight="1" spans="3:16">
      <c r="C24" s="10" t="s">
        <v>63</v>
      </c>
      <c r="L24" s="81"/>
      <c r="M24" s="81"/>
      <c r="N24" s="81"/>
      <c r="O24"/>
      <c r="P24"/>
    </row>
    <row r="25" customHeight="1" spans="3:16">
      <c r="C25" s="10" t="s">
        <v>64</v>
      </c>
      <c r="L25" s="81"/>
      <c r="M25" s="81"/>
      <c r="N25" s="81"/>
      <c r="O25"/>
      <c r="P25"/>
    </row>
    <row r="26" customHeight="1" spans="2:16">
      <c r="B26" s="2">
        <v>4</v>
      </c>
      <c r="C26" s="10" t="s">
        <v>65</v>
      </c>
      <c r="L26"/>
      <c r="M26"/>
      <c r="N26"/>
      <c r="O26"/>
      <c r="P26"/>
    </row>
    <row r="27" customHeight="1" spans="3:16">
      <c r="C27" s="10">
        <v>5.1</v>
      </c>
      <c r="D27" s="10" t="s">
        <v>66</v>
      </c>
      <c r="L27"/>
      <c r="M27"/>
      <c r="N27"/>
      <c r="O27"/>
      <c r="P27"/>
    </row>
    <row r="28" customHeight="1" spans="3:16">
      <c r="C28" s="10"/>
      <c r="D28" s="10" t="s">
        <v>67</v>
      </c>
      <c r="L28"/>
      <c r="M28"/>
      <c r="N28"/>
      <c r="O28"/>
      <c r="P28"/>
    </row>
    <row r="29" customHeight="1" spans="4:4">
      <c r="D29" s="2" t="s">
        <v>68</v>
      </c>
    </row>
    <row r="30" customHeight="1" spans="3:3">
      <c r="C30" s="10" t="s">
        <v>69</v>
      </c>
    </row>
    <row r="31" customHeight="1" spans="3:3">
      <c r="C31" s="10" t="s">
        <v>70</v>
      </c>
    </row>
    <row r="32" customHeight="1" spans="2:16">
      <c r="B32" s="2">
        <v>5</v>
      </c>
      <c r="C32" s="10" t="s">
        <v>71</v>
      </c>
      <c r="I32" s="10" t="s">
        <v>72</v>
      </c>
      <c r="P32" s="2" t="s">
        <v>73</v>
      </c>
    </row>
    <row r="33" customHeight="1" spans="3:9">
      <c r="C33" s="10" t="s">
        <v>74</v>
      </c>
      <c r="I33" s="1" t="s">
        <v>75</v>
      </c>
    </row>
    <row r="34" customHeight="1" spans="3:16">
      <c r="C34" s="10" t="s">
        <v>76</v>
      </c>
      <c r="I34" s="2" t="s">
        <v>77</v>
      </c>
      <c r="J34" s="90" t="s">
        <v>78</v>
      </c>
      <c r="K34" s="10" t="s">
        <v>79</v>
      </c>
      <c r="P34" s="2" t="s">
        <v>80</v>
      </c>
    </row>
    <row r="35" customHeight="1" spans="3:9">
      <c r="C35" s="74" t="s">
        <v>81</v>
      </c>
      <c r="D35" s="10" t="s">
        <v>82</v>
      </c>
      <c r="I35" s="1" t="s">
        <v>83</v>
      </c>
    </row>
    <row r="36" customHeight="1" spans="3:16">
      <c r="C36" s="10"/>
      <c r="D36" s="10" t="s">
        <v>84</v>
      </c>
      <c r="I36" s="2" t="s">
        <v>85</v>
      </c>
      <c r="J36" s="90" t="s">
        <v>78</v>
      </c>
      <c r="K36" s="10" t="s">
        <v>86</v>
      </c>
      <c r="P36" s="2" t="s">
        <v>87</v>
      </c>
    </row>
    <row r="37" customHeight="1" spans="3:9">
      <c r="C37" s="10">
        <v>5.1</v>
      </c>
      <c r="D37" s="10" t="s">
        <v>88</v>
      </c>
      <c r="I37" s="1" t="s">
        <v>89</v>
      </c>
    </row>
    <row r="38" customHeight="1" spans="3:16">
      <c r="C38" s="10"/>
      <c r="D38" s="10" t="s">
        <v>90</v>
      </c>
      <c r="I38" s="2" t="s">
        <v>77</v>
      </c>
      <c r="J38" s="90" t="s">
        <v>78</v>
      </c>
      <c r="K38" s="10" t="s">
        <v>91</v>
      </c>
      <c r="P38" s="2" t="s">
        <v>92</v>
      </c>
    </row>
    <row r="39" customHeight="1" spans="4:9">
      <c r="D39" s="10" t="s">
        <v>93</v>
      </c>
      <c r="I39" s="1" t="s">
        <v>94</v>
      </c>
    </row>
    <row r="40" customHeight="1" spans="3:16">
      <c r="C40" s="10">
        <v>5.2</v>
      </c>
      <c r="D40" s="10" t="s">
        <v>95</v>
      </c>
      <c r="I40" s="2" t="s">
        <v>85</v>
      </c>
      <c r="J40" s="90" t="s">
        <v>78</v>
      </c>
      <c r="K40" s="10" t="s">
        <v>96</v>
      </c>
      <c r="P40" s="2" t="s">
        <v>92</v>
      </c>
    </row>
    <row r="41" customHeight="1" spans="4:9">
      <c r="D41" s="10" t="s">
        <v>97</v>
      </c>
      <c r="I41" s="1" t="s">
        <v>98</v>
      </c>
    </row>
    <row r="42" customHeight="1" spans="3:16">
      <c r="C42" s="2">
        <v>5.3</v>
      </c>
      <c r="D42" s="10" t="s">
        <v>99</v>
      </c>
      <c r="I42" s="2" t="s">
        <v>100</v>
      </c>
      <c r="J42" s="90" t="s">
        <v>78</v>
      </c>
      <c r="K42" s="10" t="s">
        <v>101</v>
      </c>
      <c r="P42" s="10" t="s">
        <v>102</v>
      </c>
    </row>
    <row r="43" customHeight="1" spans="4:9">
      <c r="D43" s="10" t="s">
        <v>103</v>
      </c>
      <c r="I43" s="1" t="s">
        <v>104</v>
      </c>
    </row>
    <row r="44" customHeight="1" spans="3:16">
      <c r="C44" s="2">
        <v>5.4</v>
      </c>
      <c r="D44" s="10" t="s">
        <v>105</v>
      </c>
      <c r="I44" s="2" t="s">
        <v>100</v>
      </c>
      <c r="J44" s="90" t="s">
        <v>78</v>
      </c>
      <c r="K44" s="10" t="s">
        <v>106</v>
      </c>
      <c r="P44" s="10" t="s">
        <v>102</v>
      </c>
    </row>
    <row r="45" customHeight="1" spans="4:4">
      <c r="D45" s="10" t="s">
        <v>107</v>
      </c>
    </row>
    <row r="46" customHeight="1" spans="4:16">
      <c r="D46" s="10" t="s">
        <v>108</v>
      </c>
      <c r="I46" s="82" t="s">
        <v>109</v>
      </c>
      <c r="J46" s="83" t="s">
        <v>110</v>
      </c>
      <c r="K46" s="83"/>
      <c r="L46" s="83"/>
      <c r="M46" s="83"/>
      <c r="N46" s="83"/>
      <c r="O46" s="83"/>
      <c r="P46" s="83"/>
    </row>
    <row r="47" customHeight="1" spans="3:16">
      <c r="C47" s="2">
        <v>5.5</v>
      </c>
      <c r="D47" s="10" t="s">
        <v>111</v>
      </c>
      <c r="I47" s="83" t="s">
        <v>100</v>
      </c>
      <c r="J47" s="91" t="s">
        <v>78</v>
      </c>
      <c r="K47" s="83" t="s">
        <v>112</v>
      </c>
      <c r="L47" s="83"/>
      <c r="M47" s="83"/>
      <c r="N47" s="83" t="s">
        <v>113</v>
      </c>
      <c r="O47" s="83"/>
      <c r="P47" s="83"/>
    </row>
    <row r="48" customHeight="1" spans="4:4">
      <c r="D48" s="10" t="s">
        <v>114</v>
      </c>
    </row>
    <row r="49" customHeight="1" spans="4:4">
      <c r="D49" s="10" t="s">
        <v>115</v>
      </c>
    </row>
    <row r="50" customHeight="1" spans="2:3">
      <c r="B50" s="2">
        <v>6</v>
      </c>
      <c r="C50" s="10" t="s">
        <v>116</v>
      </c>
    </row>
    <row r="51" customHeight="1" spans="3:3">
      <c r="C51" s="10" t="s">
        <v>117</v>
      </c>
    </row>
    <row r="52" customHeight="1" spans="3:3">
      <c r="C52" s="10" t="s">
        <v>118</v>
      </c>
    </row>
    <row r="53" customHeight="1" spans="3:3">
      <c r="C53" s="2" t="s">
        <v>119</v>
      </c>
    </row>
    <row r="54" customHeight="1" spans="2:3">
      <c r="B54" s="2">
        <v>7</v>
      </c>
      <c r="C54" s="2" t="s">
        <v>120</v>
      </c>
    </row>
    <row r="55" customHeight="1" spans="3:3">
      <c r="C55" s="10" t="s">
        <v>121</v>
      </c>
    </row>
    <row r="56" customHeight="1" spans="3:3">
      <c r="C56" s="10" t="s">
        <v>122</v>
      </c>
    </row>
    <row r="57" customHeight="1" spans="2:5">
      <c r="B57" s="2">
        <v>8</v>
      </c>
      <c r="C57" s="10" t="s">
        <v>123</v>
      </c>
      <c r="E57" s="10" t="s">
        <v>124</v>
      </c>
    </row>
    <row r="60" customHeight="1" spans="5:5">
      <c r="E60" s="10"/>
    </row>
    <row r="61" customHeight="1" spans="3:5">
      <c r="C61" s="10"/>
      <c r="E61" s="10"/>
    </row>
    <row r="62" customHeight="1" spans="3:3">
      <c r="C62" s="10"/>
    </row>
    <row r="63" customHeight="1" spans="3:3">
      <c r="C63" s="10"/>
    </row>
  </sheetData>
  <sheetProtection formatCells="0" insertHyperlinks="0" autoFilter="0"/>
  <mergeCells count="1">
    <mergeCell ref="T4:T1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opLeftCell="E1" workbookViewId="0">
      <selection activeCell="E2" sqref="E2"/>
    </sheetView>
  </sheetViews>
  <sheetFormatPr defaultColWidth="12.5" defaultRowHeight="15" customHeight="1"/>
  <cols>
    <col min="1" max="1" width="10.75" style="38" customWidth="1"/>
    <col min="2" max="2" width="12.5" style="38" customWidth="1"/>
    <col min="3" max="4" width="21.75" style="39" customWidth="1"/>
    <col min="5" max="9" width="33.5" style="39" customWidth="1"/>
    <col min="10" max="16384" width="12.5" style="38" customWidth="1"/>
  </cols>
  <sheetData>
    <row r="1" customHeight="1" spans="1:9">
      <c r="A1" s="47" t="s">
        <v>125</v>
      </c>
      <c r="B1" s="48"/>
      <c r="C1" s="49" t="s">
        <v>126</v>
      </c>
      <c r="D1" s="49" t="s">
        <v>127</v>
      </c>
      <c r="E1" s="49" t="s">
        <v>128</v>
      </c>
      <c r="F1" s="49" t="s">
        <v>129</v>
      </c>
      <c r="G1" s="49" t="s">
        <v>130</v>
      </c>
      <c r="H1" s="49" t="s">
        <v>131</v>
      </c>
      <c r="I1" s="49" t="s">
        <v>132</v>
      </c>
    </row>
    <row r="2" s="45" customFormat="1" ht="3.75" customHeight="1" spans="1:9">
      <c r="A2" s="50"/>
      <c r="C2" s="51"/>
      <c r="D2" s="51"/>
      <c r="E2" s="51"/>
      <c r="F2" s="51"/>
      <c r="G2" s="51"/>
      <c r="H2" s="51"/>
      <c r="I2" s="51"/>
    </row>
    <row r="3" customHeight="1" spans="1:9">
      <c r="A3" s="41" t="s">
        <v>133</v>
      </c>
      <c r="B3" s="52" t="s">
        <v>7</v>
      </c>
      <c r="C3" s="38"/>
      <c r="D3" s="38"/>
      <c r="E3" s="38"/>
      <c r="F3" s="38"/>
      <c r="G3" s="38"/>
      <c r="H3" s="38"/>
      <c r="I3" s="38"/>
    </row>
    <row r="4" customHeight="1" spans="2:9">
      <c r="B4" s="53" t="s">
        <v>16</v>
      </c>
      <c r="C4" s="38"/>
      <c r="D4" s="38"/>
      <c r="E4" s="38"/>
      <c r="F4" s="38"/>
      <c r="G4" s="38"/>
      <c r="H4" s="38"/>
      <c r="I4" s="38"/>
    </row>
    <row r="5" customHeight="1" spans="2:9">
      <c r="B5" s="54" t="s">
        <v>22</v>
      </c>
      <c r="C5" s="38"/>
      <c r="D5" s="38"/>
      <c r="E5" s="38"/>
      <c r="F5" s="38"/>
      <c r="G5" s="38"/>
      <c r="H5" s="38"/>
      <c r="I5" s="38"/>
    </row>
    <row r="6" customHeight="1" spans="2:9">
      <c r="B6" s="55" t="s">
        <v>30</v>
      </c>
      <c r="C6" s="38"/>
      <c r="D6" s="38"/>
      <c r="E6" s="38"/>
      <c r="F6" s="38"/>
      <c r="G6" s="38"/>
      <c r="H6" s="38"/>
      <c r="I6" s="38"/>
    </row>
    <row r="7" customHeight="1" spans="2:9">
      <c r="B7" s="56" t="s">
        <v>36</v>
      </c>
      <c r="C7" s="38"/>
      <c r="D7" s="38"/>
      <c r="E7" s="38"/>
      <c r="F7" s="38"/>
      <c r="G7" s="38"/>
      <c r="H7" s="38"/>
      <c r="I7" s="38"/>
    </row>
    <row r="8" s="45" customFormat="1" ht="3.75" customHeight="1" spans="2:2">
      <c r="B8" s="57"/>
    </row>
    <row r="9" customHeight="1" spans="2:9">
      <c r="B9" s="58" t="s">
        <v>134</v>
      </c>
      <c r="C9" s="59"/>
      <c r="D9" s="59"/>
      <c r="E9" s="59"/>
      <c r="F9" s="59"/>
      <c r="G9" s="59"/>
      <c r="H9" s="59"/>
      <c r="I9" s="59"/>
    </row>
    <row r="10" customHeight="1" spans="2:9">
      <c r="B10" s="60" t="s">
        <v>135</v>
      </c>
      <c r="C10" s="61"/>
      <c r="D10" s="61"/>
      <c r="E10" s="61"/>
      <c r="F10" s="61"/>
      <c r="G10" s="61"/>
      <c r="H10" s="61"/>
      <c r="I10" s="61"/>
    </row>
    <row r="11" s="46" customFormat="1" customHeight="1" spans="1:9">
      <c r="A11" s="62"/>
      <c r="B11" s="63" t="s">
        <v>136</v>
      </c>
      <c r="C11" s="64"/>
      <c r="D11" s="64"/>
      <c r="E11" s="64"/>
      <c r="F11" s="64"/>
      <c r="G11" s="64"/>
      <c r="H11" s="64"/>
      <c r="I11" s="64"/>
    </row>
    <row r="12" s="46" customFormat="1" customHeight="1" spans="1:9">
      <c r="A12" s="62"/>
      <c r="C12" s="62"/>
      <c r="D12" s="62"/>
      <c r="E12" s="62"/>
      <c r="F12" s="62"/>
      <c r="G12" s="62"/>
      <c r="H12" s="62"/>
      <c r="I12" s="62"/>
    </row>
    <row r="13" s="46" customFormat="1" ht="36.75" customHeight="1" spans="1:9">
      <c r="A13" s="62"/>
      <c r="B13" s="51" t="s">
        <v>137</v>
      </c>
      <c r="C13" s="62"/>
      <c r="D13" s="62"/>
      <c r="E13" s="62"/>
      <c r="F13" s="62"/>
      <c r="G13" s="62"/>
      <c r="H13" s="62"/>
      <c r="I13" s="62"/>
    </row>
    <row r="14" s="46" customFormat="1" ht="36.75" customHeight="1" spans="1:9">
      <c r="A14" s="62"/>
      <c r="B14" s="65" t="s">
        <v>138</v>
      </c>
      <c r="C14" s="62"/>
      <c r="D14" s="62"/>
      <c r="E14" s="62"/>
      <c r="F14" s="62"/>
      <c r="G14" s="62"/>
      <c r="H14" s="62"/>
      <c r="I14" s="62"/>
    </row>
    <row r="15" s="46" customFormat="1" ht="36.75" customHeight="1" spans="1:9">
      <c r="A15" s="51" t="s">
        <v>139</v>
      </c>
      <c r="B15" s="66" t="s">
        <v>140</v>
      </c>
      <c r="C15" s="62"/>
      <c r="D15" s="62"/>
      <c r="E15" s="62"/>
      <c r="F15" s="62"/>
      <c r="G15" s="62"/>
      <c r="H15" s="62"/>
      <c r="I15" s="62"/>
    </row>
    <row r="16" customHeight="1" spans="1:9">
      <c r="A16" s="41" t="s">
        <v>141</v>
      </c>
      <c r="C16" s="38"/>
      <c r="D16" s="38"/>
      <c r="E16" s="38"/>
      <c r="F16" s="38"/>
      <c r="G16" s="38"/>
      <c r="H16" s="38"/>
      <c r="I16" s="38"/>
    </row>
    <row r="17" customHeight="1" spans="1:9">
      <c r="A17" s="41" t="s">
        <v>142</v>
      </c>
      <c r="C17" s="38"/>
      <c r="D17" s="38"/>
      <c r="E17" s="38"/>
      <c r="F17" s="38"/>
      <c r="G17" s="38"/>
      <c r="H17" s="38"/>
      <c r="I17" s="38"/>
    </row>
    <row r="18" ht="50.25" customHeight="1" spans="1:5">
      <c r="A18" s="41">
        <v>1</v>
      </c>
      <c r="E18" s="10" t="s">
        <v>143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41"/>
  <sheetViews>
    <sheetView topLeftCell="N1" workbookViewId="0">
      <selection activeCell="B45" sqref="B45:E48"/>
    </sheetView>
  </sheetViews>
  <sheetFormatPr defaultColWidth="9" defaultRowHeight="12"/>
  <cols>
    <col min="1" max="2" width="9" style="38"/>
    <col min="3" max="6" width="9" style="39"/>
    <col min="7" max="12" width="9" style="40"/>
    <col min="13" max="14" width="12.625" style="40"/>
    <col min="15" max="16" width="9" style="40"/>
    <col min="17" max="17" width="12.625" style="40"/>
    <col min="18" max="16384" width="9" style="40"/>
  </cols>
  <sheetData>
    <row r="3" spans="1:11">
      <c r="A3" s="41" t="s">
        <v>144</v>
      </c>
      <c r="B3" s="38">
        <v>5</v>
      </c>
      <c r="C3" s="10" t="s">
        <v>145</v>
      </c>
      <c r="D3" s="10" t="s">
        <v>146</v>
      </c>
      <c r="E3" s="10" t="s">
        <v>147</v>
      </c>
      <c r="F3" s="10" t="s">
        <v>148</v>
      </c>
      <c r="G3" s="42"/>
      <c r="H3" s="42"/>
      <c r="I3" s="42"/>
      <c r="J3" s="42"/>
      <c r="K3" s="42" t="s">
        <v>149</v>
      </c>
    </row>
    <row r="4" spans="1:15">
      <c r="A4" s="41" t="s">
        <v>142</v>
      </c>
      <c r="B4" s="41" t="s">
        <v>150</v>
      </c>
      <c r="C4" s="39">
        <v>3</v>
      </c>
      <c r="D4" s="39">
        <v>8</v>
      </c>
      <c r="E4" s="39">
        <v>7</v>
      </c>
      <c r="F4" s="39">
        <v>6</v>
      </c>
      <c r="K4" s="42" t="s">
        <v>146</v>
      </c>
      <c r="L4" s="40">
        <f>COUNTIF($B$5:$B$29,"=雷克")</f>
        <v>1</v>
      </c>
      <c r="M4" s="40">
        <f>L4/36</f>
        <v>0.0277777777777778</v>
      </c>
      <c r="N4" s="40">
        <v>1</v>
      </c>
      <c r="O4" s="40">
        <v>8</v>
      </c>
    </row>
    <row r="5" spans="1:16">
      <c r="A5" s="41">
        <v>0</v>
      </c>
      <c r="B5" s="41"/>
      <c r="C5" s="39">
        <v>0</v>
      </c>
      <c r="D5" s="39">
        <v>0</v>
      </c>
      <c r="E5" s="39">
        <v>0</v>
      </c>
      <c r="F5" s="39">
        <v>0</v>
      </c>
      <c r="K5" s="42" t="s">
        <v>147</v>
      </c>
      <c r="L5" s="40">
        <f>COUNTIF($B$5:$B$29,"=补丁")</f>
        <v>0</v>
      </c>
      <c r="M5" s="40">
        <f>L5/36</f>
        <v>0</v>
      </c>
      <c r="N5" s="40">
        <f>M5/$M$4</f>
        <v>0</v>
      </c>
      <c r="O5" s="40">
        <v>7</v>
      </c>
      <c r="P5" s="40">
        <f>O5/$O$4</f>
        <v>0.875</v>
      </c>
    </row>
    <row r="6" spans="1:16">
      <c r="A6" s="38">
        <v>1</v>
      </c>
      <c r="B6" s="41" t="s">
        <v>146</v>
      </c>
      <c r="C6" s="39">
        <f>C5+$B$3+$C$4</f>
        <v>8</v>
      </c>
      <c r="D6" s="39">
        <f>D5+$B$3+$D$4</f>
        <v>13</v>
      </c>
      <c r="E6" s="39">
        <f>E5+$B$3+$E$4</f>
        <v>12</v>
      </c>
      <c r="F6" s="39">
        <f>F5+$B$3+$F$4</f>
        <v>11</v>
      </c>
      <c r="K6" s="42" t="s">
        <v>148</v>
      </c>
      <c r="L6" s="40">
        <f>COUNTIF($B$5:$B$29,"=潜行")</f>
        <v>0</v>
      </c>
      <c r="M6" s="40">
        <f>L6/36</f>
        <v>0</v>
      </c>
      <c r="N6" s="40">
        <f>M6/$M$4</f>
        <v>0</v>
      </c>
      <c r="O6" s="40">
        <v>6</v>
      </c>
      <c r="P6" s="40">
        <f>O6/$O$4</f>
        <v>0.75</v>
      </c>
    </row>
    <row r="7" spans="1:16">
      <c r="A7" s="38">
        <v>2</v>
      </c>
      <c r="B7" s="41"/>
      <c r="C7" s="39">
        <f>C6+$B$3+$C$4</f>
        <v>16</v>
      </c>
      <c r="D7" s="39">
        <f t="shared" ref="D7:D16" si="0">D6+$B$3+$D$4</f>
        <v>26</v>
      </c>
      <c r="E7" s="39">
        <f t="shared" ref="E7:E15" si="1">E6+$B$3+$E$4</f>
        <v>24</v>
      </c>
      <c r="F7" s="39">
        <f t="shared" ref="F7:F41" si="2">F6+$B$3+$F$4</f>
        <v>22</v>
      </c>
      <c r="K7" s="42" t="s">
        <v>151</v>
      </c>
      <c r="L7" s="40">
        <f>COUNTIF($B$5:$B$29,"=模板")</f>
        <v>0</v>
      </c>
      <c r="M7" s="40">
        <f>L7/36</f>
        <v>0</v>
      </c>
      <c r="N7" s="40">
        <f>M7/$M$4</f>
        <v>0</v>
      </c>
      <c r="O7" s="40">
        <v>0</v>
      </c>
      <c r="P7" s="40">
        <f>O7/$O$4</f>
        <v>0</v>
      </c>
    </row>
    <row r="8" spans="1:6">
      <c r="A8" s="38">
        <v>3</v>
      </c>
      <c r="B8" s="41"/>
      <c r="C8" s="39">
        <f>C7+$B$3+$C$4</f>
        <v>24</v>
      </c>
      <c r="D8" s="39">
        <f t="shared" si="0"/>
        <v>39</v>
      </c>
      <c r="E8" s="39">
        <f t="shared" si="1"/>
        <v>36</v>
      </c>
      <c r="F8" s="39">
        <f t="shared" si="2"/>
        <v>33</v>
      </c>
    </row>
    <row r="9" spans="1:6">
      <c r="A9" s="38">
        <v>4</v>
      </c>
      <c r="B9" s="41"/>
      <c r="C9" s="39">
        <f t="shared" ref="C9:C41" si="3">C8+$B$3+$C$4</f>
        <v>32</v>
      </c>
      <c r="D9" s="39">
        <f t="shared" si="0"/>
        <v>52</v>
      </c>
      <c r="E9" s="39">
        <f t="shared" si="1"/>
        <v>48</v>
      </c>
      <c r="F9" s="39">
        <f t="shared" si="2"/>
        <v>44</v>
      </c>
    </row>
    <row r="10" ht="13.5" spans="1:17">
      <c r="A10" s="38">
        <v>5</v>
      </c>
      <c r="B10" s="41"/>
      <c r="C10" s="39">
        <f t="shared" si="3"/>
        <v>40</v>
      </c>
      <c r="D10" s="39">
        <f t="shared" si="0"/>
        <v>65</v>
      </c>
      <c r="E10" s="39">
        <f t="shared" si="1"/>
        <v>60</v>
      </c>
      <c r="F10" s="39">
        <f t="shared" si="2"/>
        <v>55</v>
      </c>
      <c r="K10" s="43"/>
      <c r="L10" s="44" t="s">
        <v>145</v>
      </c>
      <c r="M10" s="44" t="s">
        <v>146</v>
      </c>
      <c r="N10" s="44" t="s">
        <v>147</v>
      </c>
      <c r="O10" s="44" t="s">
        <v>148</v>
      </c>
      <c r="P10" s="43"/>
      <c r="Q10" s="43" t="s">
        <v>152</v>
      </c>
    </row>
    <row r="11" ht="13.5" spans="1:17">
      <c r="A11" s="38">
        <v>6</v>
      </c>
      <c r="B11" s="41"/>
      <c r="C11" s="39">
        <f t="shared" si="3"/>
        <v>48</v>
      </c>
      <c r="D11" s="39">
        <f t="shared" si="0"/>
        <v>78</v>
      </c>
      <c r="E11" s="39">
        <f t="shared" si="1"/>
        <v>72</v>
      </c>
      <c r="F11" s="39">
        <f t="shared" si="2"/>
        <v>66</v>
      </c>
      <c r="K11" s="43" t="s">
        <v>153</v>
      </c>
      <c r="L11" s="43">
        <f>L12*(Q11-L14)</f>
        <v>32</v>
      </c>
      <c r="M11" s="43">
        <f>M12*(Q11-M14)</f>
        <v>39</v>
      </c>
      <c r="N11" s="43">
        <f>N12*(Q11-N14)</f>
        <v>12</v>
      </c>
      <c r="O11" s="43">
        <f>O12*(Q11-O14)</f>
        <v>22</v>
      </c>
      <c r="P11" s="43"/>
      <c r="Q11" s="43">
        <v>7</v>
      </c>
    </row>
    <row r="12" ht="13.5" spans="1:17">
      <c r="A12" s="38">
        <v>7</v>
      </c>
      <c r="B12" s="41"/>
      <c r="C12" s="39">
        <f t="shared" si="3"/>
        <v>56</v>
      </c>
      <c r="D12" s="39">
        <f t="shared" si="0"/>
        <v>91</v>
      </c>
      <c r="E12" s="39">
        <f t="shared" si="1"/>
        <v>84</v>
      </c>
      <c r="F12" s="39">
        <f t="shared" si="2"/>
        <v>77</v>
      </c>
      <c r="K12" s="43" t="s">
        <v>154</v>
      </c>
      <c r="L12" s="43">
        <f>L13+5</f>
        <v>8</v>
      </c>
      <c r="M12" s="43">
        <f>M13+5</f>
        <v>13</v>
      </c>
      <c r="N12" s="43">
        <f>N13+5</f>
        <v>12</v>
      </c>
      <c r="O12" s="43">
        <f>O13+5</f>
        <v>11</v>
      </c>
      <c r="P12" s="43"/>
      <c r="Q12" s="43"/>
    </row>
    <row r="13" ht="13.5" spans="1:17">
      <c r="A13" s="38">
        <v>8</v>
      </c>
      <c r="B13" s="41"/>
      <c r="C13" s="39">
        <f t="shared" si="3"/>
        <v>64</v>
      </c>
      <c r="D13" s="39">
        <f t="shared" si="0"/>
        <v>104</v>
      </c>
      <c r="E13" s="39">
        <f t="shared" si="1"/>
        <v>96</v>
      </c>
      <c r="F13" s="39">
        <f t="shared" si="2"/>
        <v>88</v>
      </c>
      <c r="K13" s="43" t="s">
        <v>155</v>
      </c>
      <c r="L13" s="43">
        <v>3</v>
      </c>
      <c r="M13" s="43">
        <v>8</v>
      </c>
      <c r="N13" s="43">
        <v>7</v>
      </c>
      <c r="O13" s="43">
        <v>6</v>
      </c>
      <c r="P13" s="43"/>
      <c r="Q13" s="43"/>
    </row>
    <row r="14" ht="13.5" spans="1:17">
      <c r="A14" s="38">
        <v>9</v>
      </c>
      <c r="B14" s="41"/>
      <c r="C14" s="39">
        <f t="shared" si="3"/>
        <v>72</v>
      </c>
      <c r="D14" s="39">
        <f t="shared" si="0"/>
        <v>117</v>
      </c>
      <c r="E14" s="39">
        <f t="shared" si="1"/>
        <v>108</v>
      </c>
      <c r="F14" s="39">
        <f t="shared" si="2"/>
        <v>99</v>
      </c>
      <c r="K14" s="43" t="s">
        <v>156</v>
      </c>
      <c r="L14" s="43">
        <v>3</v>
      </c>
      <c r="M14" s="43">
        <v>4</v>
      </c>
      <c r="N14" s="43">
        <v>6</v>
      </c>
      <c r="O14" s="43">
        <v>5</v>
      </c>
      <c r="P14" s="43"/>
      <c r="Q14" s="43"/>
    </row>
    <row r="15" spans="1:6">
      <c r="A15" s="38">
        <v>10</v>
      </c>
      <c r="B15" s="41"/>
      <c r="C15" s="39">
        <f t="shared" si="3"/>
        <v>80</v>
      </c>
      <c r="D15" s="39">
        <f t="shared" si="0"/>
        <v>130</v>
      </c>
      <c r="E15" s="39">
        <f t="shared" si="1"/>
        <v>120</v>
      </c>
      <c r="F15" s="39">
        <f t="shared" si="2"/>
        <v>110</v>
      </c>
    </row>
    <row r="16" spans="1:6">
      <c r="A16" s="38">
        <v>11</v>
      </c>
      <c r="B16" s="41"/>
      <c r="C16" s="39">
        <f t="shared" si="3"/>
        <v>88</v>
      </c>
      <c r="D16" s="39">
        <f t="shared" si="0"/>
        <v>143</v>
      </c>
      <c r="E16" s="39">
        <f t="shared" ref="E7:E41" si="4">E15+$B$3+$E$4</f>
        <v>132</v>
      </c>
      <c r="F16" s="39">
        <f t="shared" si="2"/>
        <v>121</v>
      </c>
    </row>
    <row r="17" spans="1:6">
      <c r="A17" s="38">
        <v>12</v>
      </c>
      <c r="B17" s="41"/>
      <c r="C17" s="39">
        <f t="shared" si="3"/>
        <v>96</v>
      </c>
      <c r="D17" s="39">
        <f t="shared" ref="D9:D41" si="5">D16+$B$3+$D$4</f>
        <v>156</v>
      </c>
      <c r="E17" s="39">
        <f t="shared" si="4"/>
        <v>144</v>
      </c>
      <c r="F17" s="39">
        <f t="shared" si="2"/>
        <v>132</v>
      </c>
    </row>
    <row r="18" spans="1:6">
      <c r="A18" s="38">
        <v>13</v>
      </c>
      <c r="B18" s="41"/>
      <c r="C18" s="39">
        <f t="shared" si="3"/>
        <v>104</v>
      </c>
      <c r="D18" s="39">
        <f t="shared" si="5"/>
        <v>169</v>
      </c>
      <c r="E18" s="39">
        <f t="shared" si="4"/>
        <v>156</v>
      </c>
      <c r="F18" s="39">
        <f t="shared" si="2"/>
        <v>143</v>
      </c>
    </row>
    <row r="19" spans="1:6">
      <c r="A19" s="38">
        <v>14</v>
      </c>
      <c r="B19" s="41"/>
      <c r="C19" s="39">
        <f t="shared" si="3"/>
        <v>112</v>
      </c>
      <c r="D19" s="39">
        <f t="shared" si="5"/>
        <v>182</v>
      </c>
      <c r="E19" s="39">
        <f t="shared" si="4"/>
        <v>168</v>
      </c>
      <c r="F19" s="39">
        <f t="shared" si="2"/>
        <v>154</v>
      </c>
    </row>
    <row r="20" spans="1:6">
      <c r="A20" s="38">
        <v>15</v>
      </c>
      <c r="B20" s="41"/>
      <c r="C20" s="39">
        <f t="shared" si="3"/>
        <v>120</v>
      </c>
      <c r="D20" s="39">
        <f t="shared" si="5"/>
        <v>195</v>
      </c>
      <c r="E20" s="39">
        <f t="shared" si="4"/>
        <v>180</v>
      </c>
      <c r="F20" s="39">
        <f t="shared" si="2"/>
        <v>165</v>
      </c>
    </row>
    <row r="21" spans="1:6">
      <c r="A21" s="38">
        <v>16</v>
      </c>
      <c r="B21" s="41"/>
      <c r="C21" s="39">
        <f t="shared" si="3"/>
        <v>128</v>
      </c>
      <c r="D21" s="39">
        <f t="shared" si="5"/>
        <v>208</v>
      </c>
      <c r="E21" s="39">
        <f t="shared" si="4"/>
        <v>192</v>
      </c>
      <c r="F21" s="39">
        <f t="shared" si="2"/>
        <v>176</v>
      </c>
    </row>
    <row r="22" spans="1:6">
      <c r="A22" s="38">
        <v>17</v>
      </c>
      <c r="B22" s="41"/>
      <c r="C22" s="39">
        <f t="shared" si="3"/>
        <v>136</v>
      </c>
      <c r="D22" s="39">
        <f t="shared" si="5"/>
        <v>221</v>
      </c>
      <c r="E22" s="39">
        <f t="shared" si="4"/>
        <v>204</v>
      </c>
      <c r="F22" s="39">
        <f t="shared" si="2"/>
        <v>187</v>
      </c>
    </row>
    <row r="23" spans="1:6">
      <c r="A23" s="38">
        <v>18</v>
      </c>
      <c r="B23" s="41"/>
      <c r="C23" s="39">
        <f t="shared" si="3"/>
        <v>144</v>
      </c>
      <c r="D23" s="39">
        <f t="shared" si="5"/>
        <v>234</v>
      </c>
      <c r="E23" s="39">
        <f t="shared" si="4"/>
        <v>216</v>
      </c>
      <c r="F23" s="39">
        <f t="shared" si="2"/>
        <v>198</v>
      </c>
    </row>
    <row r="24" spans="1:6">
      <c r="A24" s="38">
        <v>19</v>
      </c>
      <c r="B24" s="41"/>
      <c r="C24" s="39">
        <f t="shared" si="3"/>
        <v>152</v>
      </c>
      <c r="D24" s="39">
        <f t="shared" si="5"/>
        <v>247</v>
      </c>
      <c r="E24" s="39">
        <f t="shared" si="4"/>
        <v>228</v>
      </c>
      <c r="F24" s="39">
        <f t="shared" si="2"/>
        <v>209</v>
      </c>
    </row>
    <row r="25" spans="1:6">
      <c r="A25" s="38">
        <v>20</v>
      </c>
      <c r="B25" s="41"/>
      <c r="C25" s="39">
        <f t="shared" si="3"/>
        <v>160</v>
      </c>
      <c r="D25" s="39">
        <f t="shared" si="5"/>
        <v>260</v>
      </c>
      <c r="E25" s="39">
        <f t="shared" si="4"/>
        <v>240</v>
      </c>
      <c r="F25" s="39">
        <f t="shared" si="2"/>
        <v>220</v>
      </c>
    </row>
    <row r="26" spans="1:6">
      <c r="A26" s="38">
        <v>21</v>
      </c>
      <c r="B26" s="41"/>
      <c r="C26" s="39">
        <f t="shared" si="3"/>
        <v>168</v>
      </c>
      <c r="D26" s="39">
        <f t="shared" si="5"/>
        <v>273</v>
      </c>
      <c r="E26" s="39">
        <f t="shared" si="4"/>
        <v>252</v>
      </c>
      <c r="F26" s="39">
        <f t="shared" si="2"/>
        <v>231</v>
      </c>
    </row>
    <row r="27" spans="1:6">
      <c r="A27" s="38">
        <v>22</v>
      </c>
      <c r="B27" s="41"/>
      <c r="C27" s="39">
        <f t="shared" si="3"/>
        <v>176</v>
      </c>
      <c r="D27" s="39">
        <f t="shared" si="5"/>
        <v>286</v>
      </c>
      <c r="E27" s="39">
        <f t="shared" si="4"/>
        <v>264</v>
      </c>
      <c r="F27" s="39">
        <f t="shared" si="2"/>
        <v>242</v>
      </c>
    </row>
    <row r="28" spans="1:6">
      <c r="A28" s="38">
        <v>23</v>
      </c>
      <c r="B28" s="41"/>
      <c r="C28" s="39">
        <f t="shared" si="3"/>
        <v>184</v>
      </c>
      <c r="D28" s="39">
        <f t="shared" si="5"/>
        <v>299</v>
      </c>
      <c r="E28" s="39">
        <f t="shared" si="4"/>
        <v>276</v>
      </c>
      <c r="F28" s="39">
        <f t="shared" si="2"/>
        <v>253</v>
      </c>
    </row>
    <row r="29" spans="1:6">
      <c r="A29" s="38">
        <v>24</v>
      </c>
      <c r="B29" s="41"/>
      <c r="C29" s="39">
        <f t="shared" si="3"/>
        <v>192</v>
      </c>
      <c r="D29" s="39">
        <f t="shared" si="5"/>
        <v>312</v>
      </c>
      <c r="E29" s="39">
        <f t="shared" si="4"/>
        <v>288</v>
      </c>
      <c r="F29" s="39">
        <f t="shared" si="2"/>
        <v>264</v>
      </c>
    </row>
    <row r="30" spans="1:6">
      <c r="A30" s="38">
        <v>25</v>
      </c>
      <c r="B30" s="41"/>
      <c r="C30" s="39">
        <f t="shared" si="3"/>
        <v>200</v>
      </c>
      <c r="D30" s="39">
        <f t="shared" si="5"/>
        <v>325</v>
      </c>
      <c r="E30" s="39">
        <f t="shared" si="4"/>
        <v>300</v>
      </c>
      <c r="F30" s="39">
        <f t="shared" si="2"/>
        <v>275</v>
      </c>
    </row>
    <row r="31" spans="1:6">
      <c r="A31" s="38">
        <v>26</v>
      </c>
      <c r="B31" s="41"/>
      <c r="C31" s="39">
        <f t="shared" si="3"/>
        <v>208</v>
      </c>
      <c r="D31" s="39">
        <f t="shared" si="5"/>
        <v>338</v>
      </c>
      <c r="E31" s="39">
        <f t="shared" si="4"/>
        <v>312</v>
      </c>
      <c r="F31" s="39">
        <f t="shared" si="2"/>
        <v>286</v>
      </c>
    </row>
    <row r="32" spans="1:6">
      <c r="A32" s="38">
        <v>27</v>
      </c>
      <c r="B32" s="41"/>
      <c r="C32" s="39">
        <f t="shared" si="3"/>
        <v>216</v>
      </c>
      <c r="D32" s="39">
        <f t="shared" si="5"/>
        <v>351</v>
      </c>
      <c r="E32" s="39">
        <f t="shared" si="4"/>
        <v>324</v>
      </c>
      <c r="F32" s="39">
        <f t="shared" si="2"/>
        <v>297</v>
      </c>
    </row>
    <row r="33" spans="1:6">
      <c r="A33" s="38">
        <v>28</v>
      </c>
      <c r="B33" s="41"/>
      <c r="C33" s="39">
        <f t="shared" si="3"/>
        <v>224</v>
      </c>
      <c r="D33" s="39">
        <f t="shared" si="5"/>
        <v>364</v>
      </c>
      <c r="E33" s="39">
        <f t="shared" si="4"/>
        <v>336</v>
      </c>
      <c r="F33" s="39">
        <f t="shared" si="2"/>
        <v>308</v>
      </c>
    </row>
    <row r="34" spans="1:6">
      <c r="A34" s="38">
        <v>29</v>
      </c>
      <c r="B34" s="41"/>
      <c r="C34" s="39">
        <f t="shared" si="3"/>
        <v>232</v>
      </c>
      <c r="D34" s="39">
        <f t="shared" si="5"/>
        <v>377</v>
      </c>
      <c r="E34" s="39">
        <f t="shared" si="4"/>
        <v>348</v>
      </c>
      <c r="F34" s="39">
        <f t="shared" si="2"/>
        <v>319</v>
      </c>
    </row>
    <row r="35" spans="1:6">
      <c r="A35" s="38">
        <v>30</v>
      </c>
      <c r="B35" s="41"/>
      <c r="C35" s="39">
        <f t="shared" si="3"/>
        <v>240</v>
      </c>
      <c r="D35" s="39">
        <f t="shared" si="5"/>
        <v>390</v>
      </c>
      <c r="E35" s="39">
        <f t="shared" si="4"/>
        <v>360</v>
      </c>
      <c r="F35" s="39">
        <f t="shared" si="2"/>
        <v>330</v>
      </c>
    </row>
    <row r="36" spans="1:6">
      <c r="A36" s="38">
        <v>31</v>
      </c>
      <c r="B36" s="41"/>
      <c r="C36" s="39">
        <f t="shared" si="3"/>
        <v>248</v>
      </c>
      <c r="D36" s="39">
        <f t="shared" si="5"/>
        <v>403</v>
      </c>
      <c r="E36" s="39">
        <f t="shared" si="4"/>
        <v>372</v>
      </c>
      <c r="F36" s="39">
        <f t="shared" si="2"/>
        <v>341</v>
      </c>
    </row>
    <row r="37" spans="1:6">
      <c r="A37" s="38">
        <v>32</v>
      </c>
      <c r="B37" s="41"/>
      <c r="C37" s="39">
        <f t="shared" si="3"/>
        <v>256</v>
      </c>
      <c r="D37" s="39">
        <f t="shared" si="5"/>
        <v>416</v>
      </c>
      <c r="E37" s="39">
        <f t="shared" si="4"/>
        <v>384</v>
      </c>
      <c r="F37" s="39">
        <f t="shared" si="2"/>
        <v>352</v>
      </c>
    </row>
    <row r="38" spans="1:6">
      <c r="A38" s="38">
        <v>33</v>
      </c>
      <c r="B38" s="41"/>
      <c r="C38" s="39">
        <f t="shared" si="3"/>
        <v>264</v>
      </c>
      <c r="D38" s="39">
        <f t="shared" si="5"/>
        <v>429</v>
      </c>
      <c r="E38" s="39">
        <f t="shared" si="4"/>
        <v>396</v>
      </c>
      <c r="F38" s="39">
        <f t="shared" si="2"/>
        <v>363</v>
      </c>
    </row>
    <row r="39" spans="1:6">
      <c r="A39" s="38">
        <v>34</v>
      </c>
      <c r="B39" s="41"/>
      <c r="C39" s="39">
        <f t="shared" si="3"/>
        <v>272</v>
      </c>
      <c r="D39" s="39">
        <f t="shared" si="5"/>
        <v>442</v>
      </c>
      <c r="E39" s="39">
        <f t="shared" si="4"/>
        <v>408</v>
      </c>
      <c r="F39" s="39">
        <f t="shared" si="2"/>
        <v>374</v>
      </c>
    </row>
    <row r="40" spans="1:6">
      <c r="A40" s="38">
        <v>35</v>
      </c>
      <c r="B40" s="41"/>
      <c r="C40" s="39">
        <f t="shared" si="3"/>
        <v>280</v>
      </c>
      <c r="D40" s="39">
        <f t="shared" si="5"/>
        <v>455</v>
      </c>
      <c r="E40" s="39">
        <f t="shared" si="4"/>
        <v>420</v>
      </c>
      <c r="F40" s="39">
        <f t="shared" si="2"/>
        <v>385</v>
      </c>
    </row>
    <row r="41" spans="1:6">
      <c r="A41" s="38">
        <v>36</v>
      </c>
      <c r="B41" s="41"/>
      <c r="C41" s="39">
        <f t="shared" si="3"/>
        <v>288</v>
      </c>
      <c r="D41" s="39">
        <f t="shared" si="5"/>
        <v>468</v>
      </c>
      <c r="E41" s="39">
        <f t="shared" si="4"/>
        <v>432</v>
      </c>
      <c r="F41" s="39">
        <f t="shared" si="2"/>
        <v>396</v>
      </c>
    </row>
  </sheetData>
  <sheetProtection formatCells="0" insertHyperlinks="0" autoFilter="0"/>
  <autoFilter xmlns:etc="http://www.wps.cn/officeDocument/2017/etCustomData" ref="B4:F4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topLeftCell="A4" workbookViewId="0">
      <selection activeCell="C36" sqref="C36"/>
    </sheetView>
  </sheetViews>
  <sheetFormatPr defaultColWidth="10.375" defaultRowHeight="13.5"/>
  <cols>
    <col min="1" max="4" width="10.625" customWidth="1"/>
    <col min="5" max="5" width="6.875" customWidth="1"/>
    <col min="6" max="16384" width="10.375" customWidth="1"/>
  </cols>
  <sheetData>
    <row r="1" customFormat="1" spans="1:2">
      <c r="A1" s="1" t="s">
        <v>4</v>
      </c>
      <c r="B1" s="2"/>
    </row>
    <row r="2" customFormat="1" spans="1:2">
      <c r="A2" s="3" t="s">
        <v>10</v>
      </c>
      <c r="B2" s="2" t="s">
        <v>11</v>
      </c>
    </row>
    <row r="3" customFormat="1" spans="1:2">
      <c r="A3" s="4" t="s">
        <v>19</v>
      </c>
      <c r="B3" s="2" t="s">
        <v>20</v>
      </c>
    </row>
    <row r="4" customFormat="1" spans="1:2">
      <c r="A4" s="5" t="s">
        <v>25</v>
      </c>
      <c r="B4" s="2" t="s">
        <v>26</v>
      </c>
    </row>
    <row r="5" customFormat="1" spans="1:2">
      <c r="A5" s="6" t="s">
        <v>33</v>
      </c>
      <c r="B5" s="2" t="s">
        <v>34</v>
      </c>
    </row>
    <row r="6" customFormat="1" spans="1:2">
      <c r="A6" s="7" t="s">
        <v>39</v>
      </c>
      <c r="B6" s="2" t="s">
        <v>40</v>
      </c>
    </row>
    <row r="7" customFormat="1"/>
    <row r="8" customFormat="1"/>
    <row r="9" customFormat="1" spans="1:8">
      <c r="A9" s="8" t="s">
        <v>12</v>
      </c>
      <c r="B9" s="2"/>
      <c r="C9" s="92" t="s">
        <v>13</v>
      </c>
      <c r="D9" s="10" t="s">
        <v>157</v>
      </c>
      <c r="E9" s="2"/>
      <c r="F9" s="2"/>
      <c r="G9" s="2"/>
      <c r="H9" s="2"/>
    </row>
    <row r="10" customFormat="1" spans="1:8">
      <c r="A10" s="2"/>
      <c r="B10" s="2"/>
      <c r="C10" s="10" t="s">
        <v>21</v>
      </c>
      <c r="D10" s="2"/>
      <c r="E10" s="2"/>
      <c r="F10" s="2"/>
      <c r="G10" s="2"/>
      <c r="H10" s="2"/>
    </row>
    <row r="11" customFormat="1" spans="1:8">
      <c r="A11" s="11" t="s">
        <v>27</v>
      </c>
      <c r="B11" s="2"/>
      <c r="C11" s="12" t="s">
        <v>28</v>
      </c>
      <c r="D11" s="10" t="s">
        <v>158</v>
      </c>
      <c r="E11" s="2"/>
      <c r="F11" s="2"/>
      <c r="G11" s="2"/>
      <c r="H11" s="2"/>
    </row>
    <row r="12" customFormat="1" spans="1:8">
      <c r="A12" s="13"/>
      <c r="B12" s="2"/>
      <c r="C12" s="2" t="s">
        <v>35</v>
      </c>
      <c r="D12" s="2"/>
      <c r="E12" s="2"/>
      <c r="F12" s="2"/>
      <c r="G12" s="2"/>
      <c r="H12" s="2"/>
    </row>
    <row r="13" customFormat="1" spans="1:8">
      <c r="A13" s="14" t="s">
        <v>41</v>
      </c>
      <c r="B13" s="2"/>
      <c r="C13" s="93" t="s">
        <v>13</v>
      </c>
      <c r="D13" s="10" t="s">
        <v>42</v>
      </c>
      <c r="E13" s="2"/>
      <c r="F13" s="2"/>
      <c r="G13" s="2"/>
      <c r="H13" s="2"/>
    </row>
    <row r="14" customFormat="1" spans="1:8">
      <c r="A14" s="13"/>
      <c r="B14" s="2"/>
      <c r="C14" s="2" t="s">
        <v>44</v>
      </c>
      <c r="D14" s="2"/>
      <c r="E14" s="2"/>
      <c r="F14" s="2"/>
      <c r="G14" s="2"/>
      <c r="H14" s="2"/>
    </row>
    <row r="15" customFormat="1" spans="1:8">
      <c r="A15" s="16" t="s">
        <v>46</v>
      </c>
      <c r="B15" s="2"/>
      <c r="C15" s="89" t="s">
        <v>159</v>
      </c>
      <c r="D15" s="10" t="s">
        <v>160</v>
      </c>
      <c r="E15" s="2"/>
      <c r="F15" s="2"/>
      <c r="G15" s="2"/>
      <c r="H15" s="2"/>
    </row>
    <row r="16" customFormat="1" spans="1:8">
      <c r="A16" s="2"/>
      <c r="B16" s="2"/>
      <c r="C16" s="10" t="s">
        <v>50</v>
      </c>
      <c r="D16" s="2"/>
      <c r="E16" s="2"/>
      <c r="F16" s="2"/>
      <c r="G16" s="2"/>
      <c r="H16" s="2"/>
    </row>
    <row r="17" customFormat="1"/>
    <row r="18" customFormat="1"/>
    <row r="19" customFormat="1" spans="1:4">
      <c r="A19" s="8" t="s">
        <v>161</v>
      </c>
      <c r="B19" s="2" t="s">
        <v>162</v>
      </c>
      <c r="C19" s="2"/>
      <c r="D19" s="2"/>
    </row>
    <row r="20" customFormat="1" ht="14.25" spans="1:17">
      <c r="A20" s="18" t="s">
        <v>163</v>
      </c>
      <c r="B20" s="19"/>
      <c r="C20" s="19"/>
      <c r="D20" s="20"/>
      <c r="F20" s="21" t="s">
        <v>164</v>
      </c>
      <c r="G20" s="3"/>
      <c r="H20" s="3"/>
      <c r="I20" s="3"/>
      <c r="J20" s="21" t="s">
        <v>165</v>
      </c>
      <c r="K20" s="3"/>
      <c r="L20" s="3"/>
      <c r="M20" s="3"/>
      <c r="N20" s="34" t="s">
        <v>166</v>
      </c>
      <c r="O20" s="4"/>
      <c r="P20" s="4"/>
      <c r="Q20" s="4"/>
    </row>
    <row r="21" customFormat="1" spans="1:17">
      <c r="A21" s="22" t="s">
        <v>25</v>
      </c>
      <c r="B21" s="23"/>
      <c r="C21" s="23"/>
      <c r="D21" s="24"/>
      <c r="F21" s="22" t="s">
        <v>10</v>
      </c>
      <c r="G21" s="23"/>
      <c r="H21" s="23"/>
      <c r="I21" s="24"/>
      <c r="J21" s="22" t="s">
        <v>10</v>
      </c>
      <c r="K21" s="23"/>
      <c r="L21" s="23"/>
      <c r="M21" s="24"/>
      <c r="N21" s="22" t="s">
        <v>19</v>
      </c>
      <c r="O21" s="23"/>
      <c r="P21" s="23"/>
      <c r="Q21" s="24"/>
    </row>
    <row r="22" customFormat="1" spans="1:17">
      <c r="A22" s="22" t="s">
        <v>167</v>
      </c>
      <c r="B22" s="23"/>
      <c r="C22" s="23"/>
      <c r="D22" s="24"/>
      <c r="F22" s="22" t="s">
        <v>167</v>
      </c>
      <c r="G22" s="23"/>
      <c r="H22" s="23"/>
      <c r="I22" s="24"/>
      <c r="J22" s="22" t="s">
        <v>167</v>
      </c>
      <c r="K22" s="23"/>
      <c r="L22" s="23"/>
      <c r="M22" s="24"/>
      <c r="N22" s="22" t="s">
        <v>167</v>
      </c>
      <c r="O22" s="23"/>
      <c r="P22" s="23"/>
      <c r="Q22" s="24"/>
    </row>
    <row r="23" customFormat="1" spans="1:17">
      <c r="A23" s="22" t="s">
        <v>168</v>
      </c>
      <c r="B23" s="23"/>
      <c r="C23" s="23"/>
      <c r="D23" s="24"/>
      <c r="F23" s="22" t="s">
        <v>169</v>
      </c>
      <c r="G23" s="23"/>
      <c r="H23" s="23"/>
      <c r="I23" s="24"/>
      <c r="J23" s="22" t="s">
        <v>169</v>
      </c>
      <c r="K23" s="23"/>
      <c r="L23" s="23"/>
      <c r="M23" s="24"/>
      <c r="N23" s="25" t="s">
        <v>170</v>
      </c>
      <c r="O23" s="23"/>
      <c r="P23" s="23"/>
      <c r="Q23" s="24"/>
    </row>
    <row r="24" customFormat="1" spans="1:17">
      <c r="A24" s="25" t="s">
        <v>171</v>
      </c>
      <c r="B24" s="23"/>
      <c r="C24" s="23"/>
      <c r="D24" s="24"/>
      <c r="F24" s="22"/>
      <c r="G24" s="23"/>
      <c r="H24" s="23"/>
      <c r="I24" s="24"/>
      <c r="J24" s="22"/>
      <c r="K24" s="23"/>
      <c r="L24" s="23"/>
      <c r="M24" s="24"/>
      <c r="N24" s="25" t="s">
        <v>172</v>
      </c>
      <c r="O24" s="23"/>
      <c r="P24" s="23"/>
      <c r="Q24" s="24"/>
    </row>
    <row r="25" customFormat="1" spans="1:17">
      <c r="A25" s="26" t="s">
        <v>173</v>
      </c>
      <c r="B25" s="27" t="s">
        <v>174</v>
      </c>
      <c r="C25" s="28"/>
      <c r="D25" s="29"/>
      <c r="F25" s="26" t="s">
        <v>175</v>
      </c>
      <c r="G25" s="30" t="s">
        <v>176</v>
      </c>
      <c r="H25" s="28"/>
      <c r="I25" s="29"/>
      <c r="J25" s="26" t="s">
        <v>175</v>
      </c>
      <c r="K25" s="30" t="s">
        <v>177</v>
      </c>
      <c r="L25" s="28"/>
      <c r="M25" s="29"/>
      <c r="N25" s="26" t="s">
        <v>175</v>
      </c>
      <c r="O25" s="30" t="s">
        <v>178</v>
      </c>
      <c r="P25" s="28"/>
      <c r="Q25" s="29"/>
    </row>
    <row r="26" customFormat="1" spans="1:17">
      <c r="A26" s="26" t="s">
        <v>179</v>
      </c>
      <c r="B26" s="27" t="s">
        <v>180</v>
      </c>
      <c r="C26" s="28"/>
      <c r="D26" s="29"/>
      <c r="F26" s="26" t="s">
        <v>181</v>
      </c>
      <c r="G26" s="30" t="s">
        <v>180</v>
      </c>
      <c r="H26" s="26" t="s">
        <v>182</v>
      </c>
      <c r="I26" s="29">
        <v>2</v>
      </c>
      <c r="J26" s="26" t="s">
        <v>181</v>
      </c>
      <c r="K26" s="30" t="s">
        <v>183</v>
      </c>
      <c r="L26" s="26" t="s">
        <v>182</v>
      </c>
      <c r="M26" s="29">
        <v>2</v>
      </c>
      <c r="N26" s="26" t="s">
        <v>179</v>
      </c>
      <c r="O26" s="27" t="s">
        <v>180</v>
      </c>
      <c r="P26" s="26" t="s">
        <v>182</v>
      </c>
      <c r="Q26" s="29">
        <v>0</v>
      </c>
    </row>
    <row r="27" customFormat="1"/>
    <row r="28" customFormat="1" spans="1:4">
      <c r="A28" s="11" t="s">
        <v>184</v>
      </c>
      <c r="B28" s="2" t="s">
        <v>185</v>
      </c>
      <c r="C28" s="2"/>
      <c r="D28" s="2"/>
    </row>
    <row r="29" ht="14.25" spans="1:21">
      <c r="A29" s="18" t="s">
        <v>186</v>
      </c>
      <c r="B29" s="19"/>
      <c r="C29" s="19"/>
      <c r="D29" s="20"/>
      <c r="F29" s="21" t="s">
        <v>187</v>
      </c>
      <c r="G29" s="3"/>
      <c r="H29" s="3"/>
      <c r="I29" s="3"/>
      <c r="J29" s="21" t="s">
        <v>188</v>
      </c>
      <c r="K29" s="3"/>
      <c r="L29" s="3"/>
      <c r="M29" s="3"/>
      <c r="N29" s="34" t="s">
        <v>189</v>
      </c>
      <c r="O29" s="4"/>
      <c r="P29" s="4"/>
      <c r="Q29" s="4"/>
      <c r="R29" s="21" t="s">
        <v>190</v>
      </c>
      <c r="S29" s="3"/>
      <c r="T29" s="3"/>
      <c r="U29" s="3"/>
    </row>
    <row r="30" spans="1:21">
      <c r="A30" s="22" t="s">
        <v>25</v>
      </c>
      <c r="B30" s="23"/>
      <c r="C30" s="23"/>
      <c r="D30" s="24"/>
      <c r="F30" s="22" t="s">
        <v>10</v>
      </c>
      <c r="G30" s="23"/>
      <c r="H30" s="23"/>
      <c r="I30" s="24"/>
      <c r="J30" s="22" t="s">
        <v>10</v>
      </c>
      <c r="K30" s="23"/>
      <c r="L30" s="23"/>
      <c r="M30" s="24"/>
      <c r="N30" s="22" t="s">
        <v>19</v>
      </c>
      <c r="O30" s="23"/>
      <c r="P30" s="23"/>
      <c r="Q30" s="24"/>
      <c r="R30" s="25" t="s">
        <v>10</v>
      </c>
      <c r="S30" s="23"/>
      <c r="T30" s="23"/>
      <c r="U30" s="24"/>
    </row>
    <row r="31" spans="1:21">
      <c r="A31" s="22" t="s">
        <v>167</v>
      </c>
      <c r="B31" s="23"/>
      <c r="C31" s="23"/>
      <c r="D31" s="24"/>
      <c r="F31" s="22" t="s">
        <v>167</v>
      </c>
      <c r="G31" s="23"/>
      <c r="H31" s="23"/>
      <c r="I31" s="24"/>
      <c r="J31" s="22" t="s">
        <v>167</v>
      </c>
      <c r="K31" s="23"/>
      <c r="L31" s="23"/>
      <c r="M31" s="24"/>
      <c r="N31" s="22" t="s">
        <v>167</v>
      </c>
      <c r="O31" s="23"/>
      <c r="P31" s="23"/>
      <c r="Q31" s="24"/>
      <c r="R31" s="22" t="s">
        <v>167</v>
      </c>
      <c r="S31" s="23"/>
      <c r="T31" s="23"/>
      <c r="U31" s="24"/>
    </row>
    <row r="32" spans="1:21">
      <c r="A32" s="25" t="s">
        <v>191</v>
      </c>
      <c r="B32" s="23"/>
      <c r="C32" s="23"/>
      <c r="D32" s="24"/>
      <c r="F32" s="25" t="s">
        <v>169</v>
      </c>
      <c r="G32" s="23"/>
      <c r="H32" s="23"/>
      <c r="I32" s="24"/>
      <c r="J32" s="25" t="s">
        <v>192</v>
      </c>
      <c r="K32" s="23"/>
      <c r="L32" s="23"/>
      <c r="M32" s="24"/>
      <c r="N32" s="25" t="s">
        <v>169</v>
      </c>
      <c r="O32" s="23"/>
      <c r="P32" s="23"/>
      <c r="Q32" s="24"/>
      <c r="R32" s="25" t="s">
        <v>192</v>
      </c>
      <c r="S32" s="23"/>
      <c r="T32" s="23"/>
      <c r="U32" s="24"/>
    </row>
    <row r="33" spans="1:21">
      <c r="A33" s="25" t="s">
        <v>193</v>
      </c>
      <c r="B33" s="23"/>
      <c r="C33" s="23"/>
      <c r="D33" s="24"/>
      <c r="F33" s="25" t="s">
        <v>194</v>
      </c>
      <c r="G33" s="23"/>
      <c r="H33" s="23"/>
      <c r="I33" s="24"/>
      <c r="J33" s="25" t="s">
        <v>194</v>
      </c>
      <c r="K33" s="23"/>
      <c r="L33" s="23"/>
      <c r="M33" s="24"/>
      <c r="N33" s="22"/>
      <c r="O33" s="23"/>
      <c r="P33" s="23"/>
      <c r="Q33" s="24"/>
      <c r="R33" s="25" t="s">
        <v>195</v>
      </c>
      <c r="S33" s="23"/>
      <c r="T33" s="23"/>
      <c r="U33" s="24"/>
    </row>
    <row r="34" spans="1:21">
      <c r="A34" s="26" t="s">
        <v>179</v>
      </c>
      <c r="B34" s="27" t="s">
        <v>180</v>
      </c>
      <c r="C34" s="28"/>
      <c r="D34" s="29"/>
      <c r="F34" s="26" t="s">
        <v>175</v>
      </c>
      <c r="G34" s="30" t="s">
        <v>196</v>
      </c>
      <c r="H34" s="28"/>
      <c r="I34" s="29"/>
      <c r="J34" s="26" t="s">
        <v>175</v>
      </c>
      <c r="K34" s="30" t="s">
        <v>197</v>
      </c>
      <c r="L34" s="28"/>
      <c r="M34" s="29"/>
      <c r="N34" s="26" t="s">
        <v>175</v>
      </c>
      <c r="O34" s="30" t="s">
        <v>174</v>
      </c>
      <c r="P34" s="28"/>
      <c r="Q34" s="29"/>
      <c r="R34" s="26" t="s">
        <v>175</v>
      </c>
      <c r="S34" s="30" t="s">
        <v>198</v>
      </c>
      <c r="T34" s="35" t="s">
        <v>199</v>
      </c>
      <c r="U34" s="36" t="s">
        <v>200</v>
      </c>
    </row>
    <row r="35" spans="1:21">
      <c r="A35" s="2"/>
      <c r="B35" s="2"/>
      <c r="C35" s="2"/>
      <c r="D35" s="2"/>
      <c r="F35" s="26" t="s">
        <v>181</v>
      </c>
      <c r="G35" s="30" t="s">
        <v>180</v>
      </c>
      <c r="H35" s="26" t="s">
        <v>182</v>
      </c>
      <c r="I35" s="29">
        <v>2</v>
      </c>
      <c r="J35" s="26" t="s">
        <v>181</v>
      </c>
      <c r="K35" s="30" t="s">
        <v>180</v>
      </c>
      <c r="L35" s="26" t="s">
        <v>182</v>
      </c>
      <c r="M35" s="29">
        <v>2</v>
      </c>
      <c r="N35" s="26" t="s">
        <v>179</v>
      </c>
      <c r="O35" s="27" t="s">
        <v>180</v>
      </c>
      <c r="P35" s="26" t="s">
        <v>182</v>
      </c>
      <c r="Q35" s="29">
        <v>0</v>
      </c>
      <c r="R35" s="26" t="s">
        <v>179</v>
      </c>
      <c r="S35" s="30" t="s">
        <v>201</v>
      </c>
      <c r="T35" s="37" t="s">
        <v>182</v>
      </c>
      <c r="U35" s="29">
        <v>2</v>
      </c>
    </row>
    <row r="36" customFormat="1" spans="1:4">
      <c r="A36" s="2"/>
      <c r="B36" s="2"/>
      <c r="C36" s="2"/>
      <c r="D36" s="2"/>
    </row>
    <row r="37" customFormat="1" spans="1:4">
      <c r="A37" s="14" t="s">
        <v>202</v>
      </c>
      <c r="B37" s="10" t="s">
        <v>203</v>
      </c>
      <c r="C37" s="2"/>
      <c r="D37" s="2"/>
    </row>
    <row r="38" customFormat="1" ht="14.25" spans="1:21">
      <c r="A38" s="31" t="s">
        <v>204</v>
      </c>
      <c r="B38" s="19"/>
      <c r="C38" s="19"/>
      <c r="D38" s="20"/>
      <c r="F38" s="21" t="s">
        <v>205</v>
      </c>
      <c r="G38" s="3"/>
      <c r="H38" s="3"/>
      <c r="I38" s="3"/>
      <c r="J38" s="21" t="s">
        <v>206</v>
      </c>
      <c r="K38" s="3"/>
      <c r="L38" s="3"/>
      <c r="M38" s="3"/>
      <c r="N38" s="34" t="s">
        <v>207</v>
      </c>
      <c r="O38" s="4"/>
      <c r="P38" s="4"/>
      <c r="Q38" s="4"/>
      <c r="R38" s="21" t="s">
        <v>208</v>
      </c>
      <c r="S38" s="3"/>
      <c r="T38" s="3"/>
      <c r="U38" s="3"/>
    </row>
    <row r="39" customFormat="1" spans="1:21">
      <c r="A39" s="22" t="s">
        <v>25</v>
      </c>
      <c r="B39" s="23"/>
      <c r="C39" s="23"/>
      <c r="D39" s="24"/>
      <c r="F39" s="22" t="s">
        <v>10</v>
      </c>
      <c r="G39" s="23"/>
      <c r="H39" s="23"/>
      <c r="I39" s="24"/>
      <c r="J39" s="22" t="s">
        <v>10</v>
      </c>
      <c r="K39" s="23"/>
      <c r="L39" s="23"/>
      <c r="M39" s="24"/>
      <c r="N39" s="22" t="s">
        <v>19</v>
      </c>
      <c r="O39" s="23"/>
      <c r="P39" s="23"/>
      <c r="Q39" s="24"/>
      <c r="R39" s="22" t="s">
        <v>10</v>
      </c>
      <c r="S39" s="23"/>
      <c r="T39" s="23"/>
      <c r="U39" s="24"/>
    </row>
    <row r="40" customFormat="1" spans="1:21">
      <c r="A40" s="25" t="s">
        <v>167</v>
      </c>
      <c r="B40" s="23"/>
      <c r="C40" s="23"/>
      <c r="D40" s="24"/>
      <c r="F40" s="22" t="s">
        <v>167</v>
      </c>
      <c r="G40" s="23"/>
      <c r="H40" s="23"/>
      <c r="I40" s="24"/>
      <c r="J40" s="22" t="s">
        <v>167</v>
      </c>
      <c r="K40" s="23"/>
      <c r="L40" s="23"/>
      <c r="M40" s="24"/>
      <c r="N40" s="22" t="s">
        <v>167</v>
      </c>
      <c r="O40" s="23"/>
      <c r="P40" s="23"/>
      <c r="Q40" s="24"/>
      <c r="R40" s="22" t="s">
        <v>167</v>
      </c>
      <c r="S40" s="23"/>
      <c r="T40" s="23"/>
      <c r="U40" s="24"/>
    </row>
    <row r="41" customFormat="1" spans="1:21">
      <c r="A41" s="25" t="s">
        <v>209</v>
      </c>
      <c r="B41" s="23"/>
      <c r="C41" s="23"/>
      <c r="D41" s="24"/>
      <c r="F41" s="25" t="s">
        <v>210</v>
      </c>
      <c r="G41" s="23"/>
      <c r="H41" s="23"/>
      <c r="I41" s="24"/>
      <c r="J41" s="25" t="s">
        <v>211</v>
      </c>
      <c r="K41" s="23"/>
      <c r="L41" s="23"/>
      <c r="M41" s="24"/>
      <c r="N41" s="25" t="s">
        <v>212</v>
      </c>
      <c r="O41" s="23"/>
      <c r="P41" s="23"/>
      <c r="Q41" s="24"/>
      <c r="R41" s="25" t="s">
        <v>213</v>
      </c>
      <c r="S41" s="23"/>
      <c r="T41" s="23"/>
      <c r="U41" s="24"/>
    </row>
    <row r="42" customFormat="1" spans="1:21">
      <c r="A42" s="25" t="s">
        <v>214</v>
      </c>
      <c r="B42" s="23"/>
      <c r="C42" s="23"/>
      <c r="D42" s="24"/>
      <c r="F42" s="25"/>
      <c r="G42" s="23"/>
      <c r="H42" s="23"/>
      <c r="I42" s="24"/>
      <c r="J42" s="25" t="s">
        <v>215</v>
      </c>
      <c r="K42" s="23"/>
      <c r="L42" s="23"/>
      <c r="M42" s="24"/>
      <c r="N42" s="22"/>
      <c r="O42" s="23"/>
      <c r="P42" s="23"/>
      <c r="Q42" s="24"/>
      <c r="R42" s="25"/>
      <c r="S42" s="23"/>
      <c r="T42" s="23"/>
      <c r="U42" s="24"/>
    </row>
    <row r="43" customFormat="1" spans="1:21">
      <c r="A43" s="25" t="s">
        <v>216</v>
      </c>
      <c r="B43" s="23"/>
      <c r="C43" s="23"/>
      <c r="D43" s="24"/>
      <c r="F43" s="32" t="s">
        <v>217</v>
      </c>
      <c r="G43" s="30" t="s">
        <v>218</v>
      </c>
      <c r="H43" s="28"/>
      <c r="I43" s="29"/>
      <c r="J43" s="32" t="s">
        <v>217</v>
      </c>
      <c r="K43" s="30" t="s">
        <v>219</v>
      </c>
      <c r="L43" s="32" t="s">
        <v>220</v>
      </c>
      <c r="M43" s="30" t="s">
        <v>221</v>
      </c>
      <c r="N43" s="32" t="s">
        <v>217</v>
      </c>
      <c r="O43" s="30" t="s">
        <v>222</v>
      </c>
      <c r="P43" s="28"/>
      <c r="Q43" s="29"/>
      <c r="R43" s="32" t="s">
        <v>217</v>
      </c>
      <c r="S43" s="30" t="s">
        <v>223</v>
      </c>
      <c r="T43" s="32" t="s">
        <v>220</v>
      </c>
      <c r="U43" s="32" t="s">
        <v>224</v>
      </c>
    </row>
    <row r="44" customFormat="1" spans="1:21">
      <c r="A44" s="26" t="s">
        <v>225</v>
      </c>
      <c r="B44" s="30" t="s">
        <v>219</v>
      </c>
      <c r="C44" s="28"/>
      <c r="D44" s="29"/>
      <c r="F44" s="26" t="s">
        <v>181</v>
      </c>
      <c r="G44" s="30" t="s">
        <v>226</v>
      </c>
      <c r="H44" s="26" t="s">
        <v>182</v>
      </c>
      <c r="I44" s="29">
        <v>2</v>
      </c>
      <c r="J44" s="26" t="s">
        <v>181</v>
      </c>
      <c r="K44" s="30" t="s">
        <v>227</v>
      </c>
      <c r="L44" s="26" t="s">
        <v>182</v>
      </c>
      <c r="M44" s="29">
        <v>1</v>
      </c>
      <c r="N44" s="26" t="s">
        <v>179</v>
      </c>
      <c r="O44" s="27" t="s">
        <v>180</v>
      </c>
      <c r="P44" s="26" t="s">
        <v>182</v>
      </c>
      <c r="Q44" s="29">
        <v>0</v>
      </c>
      <c r="R44" s="26" t="s">
        <v>181</v>
      </c>
      <c r="S44" s="30" t="s">
        <v>228</v>
      </c>
      <c r="T44" s="26" t="s">
        <v>182</v>
      </c>
      <c r="U44" s="29">
        <v>2</v>
      </c>
    </row>
    <row r="45" customFormat="1" spans="1:4">
      <c r="A45" s="26" t="s">
        <v>179</v>
      </c>
      <c r="B45" s="27" t="s">
        <v>180</v>
      </c>
      <c r="C45" s="28"/>
      <c r="D45" s="29"/>
    </row>
    <row r="46" customFormat="1"/>
    <row r="47" customFormat="1" spans="1:4">
      <c r="A47" s="33" t="s">
        <v>229</v>
      </c>
      <c r="B47" s="10" t="s">
        <v>230</v>
      </c>
      <c r="C47" s="2"/>
      <c r="D47" s="2"/>
    </row>
    <row r="48" customFormat="1" ht="14.25" spans="1:4">
      <c r="A48" s="31" t="s">
        <v>231</v>
      </c>
      <c r="B48" s="19"/>
      <c r="C48" s="19"/>
      <c r="D48" s="20"/>
    </row>
    <row r="49" customFormat="1" spans="1:4">
      <c r="A49" s="22" t="s">
        <v>25</v>
      </c>
      <c r="B49" s="23"/>
      <c r="C49" s="23"/>
      <c r="D49" s="24"/>
    </row>
    <row r="50" customFormat="1" spans="1:4">
      <c r="A50" s="22" t="s">
        <v>167</v>
      </c>
      <c r="B50" s="23"/>
      <c r="C50" s="23"/>
      <c r="D50" s="24"/>
    </row>
    <row r="51" customFormat="1" spans="1:4">
      <c r="A51" s="25" t="s">
        <v>232</v>
      </c>
      <c r="B51" s="23"/>
      <c r="C51" s="23"/>
      <c r="D51" s="24"/>
    </row>
    <row r="52" customFormat="1" spans="1:4">
      <c r="A52" s="22"/>
      <c r="B52" s="23"/>
      <c r="C52" s="23"/>
      <c r="D52" s="24"/>
    </row>
    <row r="53" customFormat="1" spans="1:4">
      <c r="A53" s="32" t="s">
        <v>233</v>
      </c>
      <c r="B53" s="30" t="s">
        <v>174</v>
      </c>
      <c r="C53" s="28"/>
      <c r="D53" s="29"/>
    </row>
    <row r="54" customFormat="1" spans="1:4">
      <c r="A54" s="26" t="s">
        <v>179</v>
      </c>
      <c r="B54" s="27" t="s">
        <v>180</v>
      </c>
      <c r="C54" s="28"/>
      <c r="D54" s="29"/>
    </row>
    <row r="55" customFormat="1" ht="14.25" spans="1:4">
      <c r="A55" s="31" t="s">
        <v>234</v>
      </c>
      <c r="B55" s="19"/>
      <c r="C55" s="19"/>
      <c r="D55" s="20"/>
    </row>
    <row r="56" customFormat="1" spans="1:4">
      <c r="A56" s="22" t="s">
        <v>25</v>
      </c>
      <c r="B56" s="23"/>
      <c r="C56" s="23"/>
      <c r="D56" s="24"/>
    </row>
    <row r="57" customFormat="1" spans="1:4">
      <c r="A57" s="22" t="s">
        <v>167</v>
      </c>
      <c r="B57" s="23"/>
      <c r="C57" s="23"/>
      <c r="D57" s="24"/>
    </row>
    <row r="58" customFormat="1" spans="1:4">
      <c r="A58" s="25" t="s">
        <v>235</v>
      </c>
      <c r="B58" s="23"/>
      <c r="C58" s="23"/>
      <c r="D58" s="24"/>
    </row>
    <row r="59" spans="1:4">
      <c r="A59" s="22"/>
      <c r="B59" s="23"/>
      <c r="C59" s="23"/>
      <c r="D59" s="24"/>
    </row>
    <row r="60" spans="1:4">
      <c r="A60" s="32" t="s">
        <v>236</v>
      </c>
      <c r="B60" s="30" t="s">
        <v>237</v>
      </c>
      <c r="C60" s="28"/>
      <c r="D60" s="29"/>
    </row>
    <row r="61" spans="1:4">
      <c r="A61" s="26" t="s">
        <v>179</v>
      </c>
      <c r="B61" s="27" t="s">
        <v>180</v>
      </c>
      <c r="C61" s="28"/>
      <c r="D61" s="29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��0�VT_�Y6��k0�k�VT��k*N҉r����_Oewc+5�vL��R�p�pe<Pgؚ�v҉r�HQ�QKb���T�bꁫ�L��R�pn��L��R�p�vT�e�Ǐ1d6�h�[�v�R�QHQT���T	cgqdkz��^L��R@b	g�VT_�Y�e����~�{�v{|He�g(Wdk6��k��S0L��R_�Y6��k0$R�eL��R҉r�S_MR/f&TY�N P�6RL��R �r`��~�{@b	g P�6RL��R �vsQHe�g�s�[S_MRY�N P�6RL��R �r`�e��Y�g�e�l(Wdk6��k�d��He�g�RO�Ǐ@b	gL��R6��k�Y�g�s�[NY�Ndk�r`�R���_4*NL��R�p0L��R6��k0�m�L��R�p��S�R;N�R�b���T���R�b���k*Nb�R�e>e�vL��R�e>e��Op�N!k0L��RuHe6��k0�uHe�~_gT͑�e�V0R0L��R6��k0�Y�gX[(WiRYOL��R�pbL��R���R�R�S�N�~�~gbL�L��R0L��RuHe6��k0�[�c}YL��RT�ۏeQdkAmz_�YgbL�L��RHe�g�Y�eyr�k�f�	c�NNz��^gbL�0$R�[-HQ0L��R_�Y�e�e�R�v(Wdk�e��S0��$R�[0S_�vh\Ջ(u���^�[;e�Q�e����h�[AmzgOHQ0$O�[Amz0�Q�llQ_��S��S�O0�S�QAmz00{k�NAmz0�Y�gX[(W�S�QT��S�vHe�g�(W$O�[Amz6��k��S�S�Q�e�[�vh �b$O�[�vǏz�͑�ep�0$O�[Amz00�S�QAmz00$R�[-T0(W$O�[�~�{TYt;����v(Wdk�e��S0L��R�~_g6��k0S_MR҉r�@b	gL��R�~_gT��Y�g	gHe�g�����S�R(Wdk�e��S�Y�g	g�VT�~_g�e��S�v;����R(WdkY��S0NN*N҉r�L��R0  ͑YKNMR�v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WWO_wpscloud_20230327193903-131eadf3f4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规则-流程</vt:lpstr>
      <vt:lpstr>战斗记录</vt:lpstr>
      <vt:lpstr>行动计算</vt:lpstr>
      <vt:lpstr>不同施法资源技能设计参考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</cp:lastModifiedBy>
  <dcterms:created xsi:type="dcterms:W3CDTF">2018-06-12T16:28:00Z</dcterms:created>
  <dcterms:modified xsi:type="dcterms:W3CDTF">2024-12-08T16:57:09Z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F4B40E1005894C87A2A8BA3B22F69386</vt:lpwstr>
  </property>
</Properties>
</file>